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5236\Desktop\"/>
    </mc:Choice>
  </mc:AlternateContent>
  <bookViews>
    <workbookView windowWidth="23040" windowHeight="10455"/>
  </bookViews>
  <sheets>
    <sheet name="教师名单汇总" sheetId="1" r:id="rId1"/>
    <sheet name="審核成員" sheetId="4" state="hidden" r:id="rId2"/>
  </sheets>
  <definedNames>
    <definedName name="_xlnm._FilterDatabase" localSheetId="0" hidden="1">教师名单汇总!$A$3:$AV$24</definedName>
    <definedName name="Z_E3E5EE01_9764_4184_AAF7_B615A749A3D4_.wvu.FilterData" localSheetId="0" hidden="1">教师名单汇总!$B$1</definedName>
  </definedNames>
  <calcPr calcId="191029"/>
  <customWorkbookViews>
    <customWorkbookView name="平台课程主管 的视图" guid="{E3E5EE01-9764-4184-AAF7-B615A749A3D4}" maximized="1" windowWidth="1415" windowHeight="872" activeSheetId="1"/>
    <customWorkbookView name="平台课程主管 的视图_1" guid="{7AD46B67-B97F-4E00-BD77-6D8CA3169B1D}" maximized="1" windowWidth="1415" windowHeight="87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<sst xmlns="http://schemas.openxmlformats.org/spreadsheetml/2006/main" count="263" uniqueCount="143">
  <si>
    <t>喜乐瑜伽教师名单汇总表</t>
  </si>
  <si>
    <t>近四年培训记录</t>
  </si>
  <si>
    <t>人数统计</t>
  </si>
  <si>
    <t>教师资质认证</t>
  </si>
  <si>
    <t>个人信息</t>
  </si>
  <si>
    <t>现居住地</t>
  </si>
  <si>
    <t>证书发放</t>
  </si>
  <si>
    <t>备注</t>
  </si>
  <si>
    <t>CELL PHONE NO.</t>
  </si>
  <si>
    <t>ID  NO.</t>
  </si>
  <si>
    <t>2026吉隆坡初阶</t>
  </si>
  <si>
    <t>2025吉隆坡大圆满</t>
  </si>
  <si>
    <t>2025福州中阶</t>
  </si>
  <si>
    <t>2025福州初阶</t>
  </si>
  <si>
    <t>2024柬埔寨大圆满</t>
  </si>
  <si>
    <t>2024福州中阶</t>
  </si>
  <si>
    <t>2024福州初阶</t>
  </si>
  <si>
    <t>2023青城山复训</t>
  </si>
  <si>
    <t>2023青城山新训</t>
  </si>
  <si>
    <t>资质认证</t>
  </si>
  <si>
    <t>级别</t>
  </si>
  <si>
    <t>阶段</t>
  </si>
  <si>
    <t>中文名</t>
  </si>
  <si>
    <t>个人
常用名</t>
  </si>
  <si>
    <t>老师赐
喜乐名</t>
  </si>
  <si>
    <t>性别</t>
  </si>
  <si>
    <t>国家</t>
  </si>
  <si>
    <t>省份</t>
  </si>
  <si>
    <t>城市</t>
  </si>
  <si>
    <r>
      <rPr>
        <b/>
        <sz val="10"/>
        <color rgb="FF000000"/>
        <rFont val="微软雅黑 Light"/>
        <charset val="134"/>
      </rPr>
      <t>首次顾问</t>
    </r>
    <r>
      <rPr>
        <b/>
        <sz val="10"/>
        <color rgb="FF000000"/>
        <rFont val="微软雅黑 Light"/>
        <charset val="134"/>
      </rPr>
      <t xml:space="preserve">
认证年份</t>
    </r>
  </si>
  <si>
    <r>
      <rPr>
        <b/>
        <sz val="10"/>
        <color rgb="FF000000"/>
        <rFont val="微软雅黑 Light"/>
        <charset val="134"/>
      </rPr>
      <t>首次初阶</t>
    </r>
    <r>
      <rPr>
        <b/>
        <sz val="10"/>
        <color rgb="FF000000"/>
        <rFont val="微软雅黑 Light"/>
        <charset val="134"/>
      </rPr>
      <t xml:space="preserve">
认证年份</t>
    </r>
  </si>
  <si>
    <r>
      <rPr>
        <b/>
        <sz val="10"/>
        <color rgb="FF000000"/>
        <rFont val="微软雅黑 Light"/>
        <charset val="134"/>
      </rPr>
      <t>首次中阶</t>
    </r>
    <r>
      <rPr>
        <b/>
        <sz val="10"/>
        <color rgb="FF000000"/>
        <rFont val="微软雅黑 Light"/>
        <charset val="134"/>
      </rPr>
      <t xml:space="preserve">
认证年份</t>
    </r>
  </si>
  <si>
    <r>
      <rPr>
        <b/>
        <sz val="10"/>
        <color rgb="FF000000"/>
        <rFont val="微软雅黑 Light"/>
        <charset val="134"/>
      </rPr>
      <t>首次高阶</t>
    </r>
    <r>
      <rPr>
        <b/>
        <sz val="10"/>
        <color rgb="FF000000"/>
        <rFont val="微软雅黑 Light"/>
        <charset val="134"/>
      </rPr>
      <t xml:space="preserve">
认证年份</t>
    </r>
  </si>
  <si>
    <t>年审有效期</t>
  </si>
  <si>
    <t>喜乐生命工程师</t>
  </si>
  <si>
    <t>L4</t>
  </si>
  <si>
    <t>导师</t>
  </si>
  <si>
    <t>简明毅</t>
  </si>
  <si>
    <t>慧明</t>
  </si>
  <si>
    <t>男</t>
  </si>
  <si>
    <t>中国</t>
  </si>
  <si>
    <t>台湾</t>
  </si>
  <si>
    <t>云林</t>
  </si>
  <si>
    <t>终身</t>
  </si>
  <si>
    <t>2025年授予导师</t>
  </si>
  <si>
    <t>13296610976</t>
  </si>
  <si>
    <t>06104446</t>
  </si>
  <si>
    <t>喜乐智慧生命教练</t>
  </si>
  <si>
    <t>L3</t>
  </si>
  <si>
    <t>高级</t>
  </si>
  <si>
    <t>邓思群</t>
  </si>
  <si>
    <t>卓玛当来思群</t>
  </si>
  <si>
    <t>女</t>
  </si>
  <si>
    <t>北京</t>
  </si>
  <si>
    <t>13910401189</t>
  </si>
  <si>
    <t>440105197605140921</t>
  </si>
  <si>
    <t>喜乐健康生活管理师</t>
  </si>
  <si>
    <t>L2</t>
  </si>
  <si>
    <t>中级</t>
  </si>
  <si>
    <t>李卓训</t>
  </si>
  <si>
    <t>三喜</t>
  </si>
  <si>
    <t>18801032186</t>
  </si>
  <si>
    <t>320381198908150611</t>
  </si>
  <si>
    <t>朱晓娟</t>
  </si>
  <si>
    <t>源缘卓玛</t>
  </si>
  <si>
    <t>13261114968</t>
  </si>
  <si>
    <t>211323197708220045</t>
  </si>
  <si>
    <t>杜娟</t>
  </si>
  <si>
    <t>云端指月</t>
  </si>
  <si>
    <t>13811554614</t>
  </si>
  <si>
    <t>15282719810628422X</t>
  </si>
  <si>
    <t>杜娜</t>
  </si>
  <si>
    <t>海底採珠</t>
  </si>
  <si>
    <t>18611477900</t>
  </si>
  <si>
    <t>152827198509154227</t>
  </si>
  <si>
    <t>毛静</t>
  </si>
  <si>
    <t>愿力童子</t>
  </si>
  <si>
    <t>13911765177</t>
  </si>
  <si>
    <t>110102197601071142</t>
  </si>
  <si>
    <t>尚美辰</t>
  </si>
  <si>
    <t>美晨</t>
  </si>
  <si>
    <t>仁青卓玛</t>
  </si>
  <si>
    <t>13021038733</t>
  </si>
  <si>
    <t>110104198108131321</t>
  </si>
  <si>
    <t>喜乐瑜伽教师</t>
  </si>
  <si>
    <t>L1</t>
  </si>
  <si>
    <t>初级</t>
  </si>
  <si>
    <t>朱凌</t>
  </si>
  <si>
    <t>喜乐壮壮</t>
  </si>
  <si>
    <t>510102196706148441</t>
  </si>
  <si>
    <t>孟杰</t>
  </si>
  <si>
    <t>善智儿</t>
  </si>
  <si>
    <t>110105197802081127</t>
  </si>
  <si>
    <t>高海燕</t>
  </si>
  <si>
    <t>妙空</t>
  </si>
  <si>
    <t>110224197110040027</t>
  </si>
  <si>
    <t>张斌</t>
  </si>
  <si>
    <t>离幻儿</t>
  </si>
  <si>
    <t xml:space="preserve">350322198302160028
</t>
  </si>
  <si>
    <t>申霞</t>
  </si>
  <si>
    <t>达娃卓玛</t>
  </si>
  <si>
    <t>110108196906304027</t>
  </si>
  <si>
    <t>安志霞</t>
  </si>
  <si>
    <t>安安</t>
  </si>
  <si>
    <t>安吉</t>
  </si>
  <si>
    <t>152628198407217229</t>
  </si>
  <si>
    <t>杨华</t>
  </si>
  <si>
    <t>喜乐自在</t>
  </si>
  <si>
    <t>130626199202105860</t>
  </si>
  <si>
    <t>白凤霞</t>
  </si>
  <si>
    <t>ZARA</t>
  </si>
  <si>
    <t>130721198207124648</t>
  </si>
  <si>
    <t>陈婷</t>
  </si>
  <si>
    <t>德儿吉卓玛</t>
  </si>
  <si>
    <t>42242619840310002x</t>
  </si>
  <si>
    <t>于晓景</t>
  </si>
  <si>
    <t>喜乐乐</t>
  </si>
  <si>
    <t>130631198202210229</t>
  </si>
  <si>
    <t>喜乐顾问</t>
  </si>
  <si>
    <t>L0</t>
  </si>
  <si>
    <t>苗秀玲</t>
  </si>
  <si>
    <t>无</t>
  </si>
  <si>
    <t>13121799294</t>
  </si>
  <si>
    <t>152827195602150144</t>
  </si>
  <si>
    <t>王云峰</t>
  </si>
  <si>
    <t>喜乐卓玛</t>
  </si>
  <si>
    <t>13911125672</t>
  </si>
  <si>
    <t>110108197201169720</t>
  </si>
  <si>
    <t>審核成員</t>
  </si>
  <si>
    <t>審核結果</t>
  </si>
  <si>
    <t>贤儿</t>
  </si>
  <si>
    <t>通過</t>
  </si>
  <si>
    <t>慧照兒</t>
  </si>
  <si>
    <t>轉顧問</t>
  </si>
  <si>
    <t>海潮音</t>
  </si>
  <si>
    <t>審核中</t>
  </si>
  <si>
    <t>如慧</t>
  </si>
  <si>
    <t>未提交</t>
  </si>
  <si>
    <t>雪莲花</t>
  </si>
  <si>
    <t>不通過</t>
  </si>
  <si>
    <t>二喜</t>
  </si>
  <si>
    <t>2026復訓</t>
  </si>
  <si>
    <t>仁青卓瑪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</si>
</sst>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人&quot;"/>
    <numFmt numFmtId="177" formatCode="&quot;导&quot;&quot;师&quot;0&quot;人&quot;"/>
    <numFmt numFmtId="178" formatCode="&quot;高&quot;&quot;师&quot;0&quot;人&quot;"/>
    <numFmt numFmtId="179" formatCode="&quot;中&quot;&quot;级&quot;&quot;教&quot;&quot;师&quot;0&quot;人&quot;"/>
    <numFmt numFmtId="180" formatCode="&quot;初&quot;&quot;级&quot;0&quot;人&quot;"/>
    <numFmt numFmtId="181" formatCode="&quot;顾&quot;&quot;问&quot;0&quot;人&quot;"/>
  </numFmts>
  <fonts count="49">
    <font>
      <sz val="12"/>
      <color rgb="FF000000"/>
      <name val="SimSun"/>
      <charset val="134"/>
    </font>
    <font>
      <sz val="10"/>
      <name val="SimSun"/>
      <charset val="134"/>
    </font>
    <font>
      <sz val="10"/>
      <name val="SimSun"/>
      <charset val="134"/>
    </font>
    <font>
      <b/>
      <sz val="12"/>
      <name val="SimSun"/>
      <charset val="134"/>
    </font>
    <font>
      <sz val="12"/>
      <name val="SimSun"/>
      <charset val="134"/>
    </font>
    <font>
      <b/>
      <sz val="10"/>
      <name val="微软雅黑 Light"/>
      <charset val="134"/>
    </font>
    <font>
      <sz val="10"/>
      <name val="微软雅黑 Light"/>
      <charset val="134"/>
    </font>
    <font>
      <sz val="10"/>
      <name val="微软雅黑 Light"/>
      <charset val="134"/>
    </font>
    <font>
      <sz val="10"/>
      <color rgb="FF000000"/>
      <name val="微软雅黑 Light"/>
      <charset val="134"/>
    </font>
    <font>
      <b/>
      <sz val="10"/>
      <color theme="1"/>
      <name val="微软雅黑 Light"/>
      <charset val="134"/>
    </font>
    <font>
      <b/>
      <sz val="16"/>
      <color theme="1"/>
      <name val="微软雅黑 Light"/>
      <charset val="134"/>
    </font>
    <font>
      <b/>
      <sz val="10"/>
      <color theme="1"/>
      <name val="微软雅黑 Light"/>
      <charset val="134"/>
    </font>
    <font>
      <b/>
      <sz val="10"/>
      <color rgb="FF000000"/>
      <name val="微软雅黑 Light"/>
      <charset val="134"/>
    </font>
    <font>
      <b/>
      <sz val="12"/>
      <color rgb="FF9E1E1A"/>
      <name val="SimHei"/>
      <charset val="134"/>
    </font>
    <font>
      <b/>
      <sz val="10"/>
      <color rgb="FFFFFFFF"/>
      <name val="微软雅黑 Light"/>
      <charset val="134"/>
    </font>
    <font>
      <b/>
      <sz val="10"/>
      <color rgb="FFFFFFFF"/>
      <name val="微软雅黑 Light"/>
      <charset val="134"/>
    </font>
    <font>
      <b/>
      <sz val="9"/>
      <color rgb="FFFFFFFF"/>
      <name val="微软雅黑 Light"/>
      <charset val="134"/>
    </font>
    <font>
      <b/>
      <sz val="9"/>
      <color rgb="FFFFFFFF"/>
      <name val="SimSun"/>
      <charset val="134"/>
    </font>
    <font>
      <b/>
      <sz val="12"/>
      <color rgb="FF000000"/>
      <name val="SimSun"/>
      <charset val="134"/>
    </font>
    <font>
      <b/>
      <sz val="9"/>
      <color theme="1"/>
      <name val="微软雅黑 Light"/>
      <charset val="134"/>
    </font>
    <font>
      <b/>
      <sz val="10"/>
      <color theme="1"/>
      <name val="SimSun"/>
      <charset val="134"/>
    </font>
    <font>
      <sz val="10"/>
      <color theme="1"/>
      <name val="SimSun"/>
      <charset val="134"/>
    </font>
    <font>
      <sz val="9"/>
      <name val="SimSun"/>
      <charset val="134"/>
    </font>
    <font>
      <sz val="10"/>
      <color theme="1"/>
      <name val="SimSun"/>
      <charset val="134"/>
    </font>
    <font>
      <sz val="9"/>
      <name val="SimSun"/>
      <charset val="134"/>
    </font>
    <font>
      <sz val="10"/>
      <color rgb="FF000000"/>
      <name val="SimSun"/>
      <charset val="134"/>
    </font>
    <font>
      <sz val="10"/>
      <color rgb="FF000000"/>
      <name val="SimSun"/>
      <charset val="134"/>
    </font>
    <font>
      <b/>
      <sz val="10"/>
      <name val="SimSu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b/>
      <sz val="10"/>
      <color rgb="FF000000"/>
      <name val="微软雅黑 Light"/>
      <charset val="134"/>
    </font>
  </fonts>
  <fills count="41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A38200"/>
        <bgColor indexed="64"/>
      </patternFill>
    </fill>
    <fill>
      <patternFill patternType="solid">
        <fgColor rgb="FFB86014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0" borderId="2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1" borderId="28" applyNumberFormat="0" applyAlignment="0" applyProtection="0">
      <alignment vertical="center"/>
    </xf>
    <xf numFmtId="0" fontId="38" fillId="12" borderId="29" applyNumberFormat="0" applyAlignment="0" applyProtection="0">
      <alignment vertical="center"/>
    </xf>
    <xf numFmtId="0" fontId="39" fillId="12" borderId="28" applyNumberFormat="0" applyAlignment="0" applyProtection="0">
      <alignment vertical="center"/>
    </xf>
    <xf numFmtId="0" fontId="40" fillId="13" borderId="30" applyNumberFormat="0" applyAlignment="0" applyProtection="0">
      <alignment vertical="center"/>
    </xf>
    <xf numFmtId="0" fontId="41" fillId="0" borderId="31" applyNumberFormat="0" applyFill="0" applyAlignment="0" applyProtection="0">
      <alignment vertical="center"/>
    </xf>
    <xf numFmtId="0" fontId="42" fillId="0" borderId="32" applyNumberFormat="0" applyFill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3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4" fillId="0" borderId="0" xfId="0" applyFont="1">
      <alignment vertical="center"/>
    </xf>
    <xf numFmtId="0" fontId="5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center" vertical="center"/>
    </xf>
    <xf numFmtId="49" fontId="9" fillId="3" borderId="8" xfId="0" applyNumberFormat="1" applyFont="1" applyFill="1" applyBorder="1">
      <alignment vertical="center"/>
    </xf>
    <xf numFmtId="49" fontId="10" fillId="3" borderId="9" xfId="0" applyNumberFormat="1" applyFont="1" applyFill="1" applyBorder="1" applyAlignment="1">
      <alignment horizontal="center" vertical="center"/>
    </xf>
    <xf numFmtId="49" fontId="11" fillId="3" borderId="10" xfId="0" applyNumberFormat="1" applyFont="1" applyFill="1" applyBorder="1">
      <alignment vertical="center"/>
    </xf>
    <xf numFmtId="49" fontId="9" fillId="3" borderId="10" xfId="0" applyNumberFormat="1" applyFont="1" applyFill="1" applyBorder="1">
      <alignment vertical="center"/>
    </xf>
    <xf numFmtId="0" fontId="9" fillId="3" borderId="10" xfId="0" applyFont="1" applyFill="1" applyBorder="1">
      <alignment vertical="center"/>
    </xf>
    <xf numFmtId="49" fontId="12" fillId="3" borderId="0" xfId="0" applyNumberFormat="1" applyFont="1" applyFill="1" applyBorder="1" applyAlignment="1">
      <alignment horizontal="left" vertical="center"/>
    </xf>
    <xf numFmtId="49" fontId="12" fillId="3" borderId="0" xfId="0" applyNumberFormat="1" applyFont="1" applyFill="1" applyBorder="1" applyAlignment="1">
      <alignment horizontal="center" vertical="center"/>
    </xf>
    <xf numFmtId="0" fontId="13" fillId="0" borderId="0" xfId="0" applyFont="1" applyFill="1">
      <alignment vertical="center"/>
    </xf>
    <xf numFmtId="0" fontId="0" fillId="0" borderId="0" xfId="0" applyNumberFormat="1" applyFont="1" applyFill="1" applyAlignment="1">
      <alignment vertical="center"/>
    </xf>
    <xf numFmtId="49" fontId="14" fillId="4" borderId="11" xfId="0" applyNumberFormat="1" applyFont="1" applyFill="1" applyBorder="1" applyAlignment="1">
      <alignment horizontal="center" vertical="center"/>
    </xf>
    <xf numFmtId="0" fontId="8" fillId="0" borderId="11" xfId="0" applyFont="1" applyBorder="1">
      <alignment vertical="center"/>
    </xf>
    <xf numFmtId="49" fontId="14" fillId="4" borderId="10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0" fontId="8" fillId="0" borderId="12" xfId="0" applyFont="1" applyBorder="1">
      <alignment vertical="center"/>
    </xf>
    <xf numFmtId="49" fontId="14" fillId="4" borderId="9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0" fontId="8" fillId="0" borderId="10" xfId="0" applyFont="1" applyBorder="1">
      <alignment vertical="center"/>
    </xf>
    <xf numFmtId="49" fontId="14" fillId="4" borderId="13" xfId="0" applyNumberFormat="1" applyFont="1" applyFill="1" applyBorder="1" applyAlignment="1">
      <alignment horizontal="center" vertical="center" wrapText="1"/>
    </xf>
    <xf numFmtId="49" fontId="16" fillId="5" borderId="11" xfId="0" applyNumberFormat="1" applyFont="1" applyFill="1" applyBorder="1" applyAlignment="1">
      <alignment horizontal="center" vertical="center" wrapText="1"/>
    </xf>
    <xf numFmtId="49" fontId="16" fillId="5" borderId="11" xfId="0" applyNumberFormat="1" applyFont="1" applyFill="1" applyBorder="1" applyAlignment="1">
      <alignment horizontal="center" vertical="center" wrapText="1"/>
    </xf>
    <xf numFmtId="49" fontId="17" fillId="5" borderId="1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top"/>
    </xf>
    <xf numFmtId="176" fontId="9" fillId="6" borderId="1" xfId="0" applyNumberFormat="1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/>
    </xf>
    <xf numFmtId="31" fontId="9" fillId="6" borderId="14" xfId="0" applyNumberFormat="1" applyFont="1" applyFill="1" applyBorder="1" applyAlignment="1">
      <alignment horizontal="center" vertical="top"/>
    </xf>
    <xf numFmtId="31" fontId="11" fillId="6" borderId="11" xfId="0" applyNumberFormat="1" applyFont="1" applyFill="1" applyBorder="1" applyAlignment="1">
      <alignment horizontal="center" vertical="top"/>
    </xf>
    <xf numFmtId="31" fontId="9" fillId="6" borderId="12" xfId="0" applyNumberFormat="1" applyFont="1" applyFill="1" applyBorder="1" applyAlignment="1">
      <alignment horizontal="center" vertical="top"/>
    </xf>
    <xf numFmtId="49" fontId="9" fillId="6" borderId="13" xfId="0" applyNumberFormat="1" applyFont="1" applyFill="1" applyBorder="1" applyAlignment="1">
      <alignment horizontal="center" vertical="top" wrapText="1"/>
    </xf>
    <xf numFmtId="31" fontId="11" fillId="6" borderId="13" xfId="0" applyNumberFormat="1" applyFont="1" applyFill="1" applyBorder="1" applyAlignment="1">
      <alignment horizontal="center" vertical="top" wrapText="1"/>
    </xf>
    <xf numFmtId="31" fontId="9" fillId="6" borderId="13" xfId="0" applyNumberFormat="1" applyFont="1" applyFill="1" applyBorder="1" applyAlignment="1">
      <alignment horizontal="center" vertical="top"/>
    </xf>
    <xf numFmtId="49" fontId="9" fillId="6" borderId="13" xfId="0" applyNumberFormat="1" applyFont="1" applyFill="1" applyBorder="1" applyAlignment="1">
      <alignment horizontal="center" vertical="top"/>
    </xf>
    <xf numFmtId="0" fontId="1" fillId="6" borderId="11" xfId="0" applyFont="1" applyFill="1" applyBorder="1" applyAlignment="1">
      <alignment horizontal="center" vertical="top" wrapText="1"/>
    </xf>
    <xf numFmtId="49" fontId="2" fillId="6" borderId="11" xfId="0" applyNumberFormat="1" applyFont="1" applyFill="1" applyBorder="1" applyAlignment="1">
      <alignment horizontal="center" vertical="top" wrapText="1"/>
    </xf>
    <xf numFmtId="49" fontId="1" fillId="6" borderId="11" xfId="0" applyNumberFormat="1" applyFont="1" applyFill="1" applyBorder="1" applyAlignment="1">
      <alignment horizontal="center" vertical="top" wrapText="1"/>
    </xf>
    <xf numFmtId="31" fontId="9" fillId="6" borderId="9" xfId="0" applyNumberFormat="1" applyFont="1" applyFill="1" applyBorder="1" applyAlignment="1">
      <alignment horizontal="center" vertical="top"/>
    </xf>
    <xf numFmtId="31" fontId="19" fillId="7" borderId="1" xfId="0" applyNumberFormat="1" applyFont="1" applyFill="1" applyBorder="1" applyAlignment="1">
      <alignment horizontal="center" vertical="top"/>
    </xf>
    <xf numFmtId="0" fontId="19" fillId="7" borderId="1" xfId="0" applyNumberFormat="1" applyFont="1" applyFill="1" applyBorder="1" applyAlignment="1">
      <alignment horizontal="center" vertical="top"/>
    </xf>
    <xf numFmtId="177" fontId="20" fillId="0" borderId="13" xfId="0" applyNumberFormat="1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49" fontId="22" fillId="0" borderId="13" xfId="0" applyNumberFormat="1" applyFont="1" applyFill="1" applyBorder="1" applyAlignment="1">
      <alignment horizontal="center" vertical="center"/>
    </xf>
    <xf numFmtId="49" fontId="2" fillId="8" borderId="15" xfId="0" applyNumberFormat="1" applyFont="1" applyFill="1" applyBorder="1" applyAlignment="1">
      <alignment horizontal="center" vertical="center"/>
    </xf>
    <xf numFmtId="49" fontId="1" fillId="8" borderId="15" xfId="0" applyNumberFormat="1" applyFont="1" applyFill="1" applyBorder="1" applyAlignment="1">
      <alignment horizontal="center" vertical="center"/>
    </xf>
    <xf numFmtId="49" fontId="1" fillId="8" borderId="11" xfId="0" applyNumberFormat="1" applyFont="1" applyFill="1" applyBorder="1" applyAlignment="1">
      <alignment horizontal="center" vertical="center"/>
    </xf>
    <xf numFmtId="49" fontId="2" fillId="8" borderId="11" xfId="0" applyNumberFormat="1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31" fontId="1" fillId="8" borderId="16" xfId="0" applyNumberFormat="1" applyFont="1" applyFill="1" applyBorder="1" applyAlignment="1">
      <alignment horizontal="center" vertical="center"/>
    </xf>
    <xf numFmtId="31" fontId="1" fillId="8" borderId="7" xfId="0" applyNumberFormat="1" applyFont="1" applyFill="1" applyBorder="1" applyAlignment="1">
      <alignment horizontal="left" vertical="center"/>
    </xf>
    <xf numFmtId="49" fontId="1" fillId="8" borderId="16" xfId="0" applyNumberFormat="1" applyFont="1" applyFill="1" applyBorder="1" applyAlignment="1">
      <alignment horizontal="center" vertical="center"/>
    </xf>
    <xf numFmtId="178" fontId="12" fillId="0" borderId="13" xfId="0" applyNumberFormat="1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31" fontId="1" fillId="0" borderId="16" xfId="0" applyNumberFormat="1" applyFont="1" applyBorder="1" applyAlignment="1">
      <alignment horizontal="center" vertical="center"/>
    </xf>
    <xf numFmtId="31" fontId="1" fillId="0" borderId="11" xfId="0" applyNumberFormat="1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179" fontId="12" fillId="0" borderId="13" xfId="0" applyNumberFormat="1" applyFont="1" applyFill="1" applyBorder="1" applyAlignment="1">
      <alignment horizontal="center" vertical="center"/>
    </xf>
    <xf numFmtId="49" fontId="2" fillId="9" borderId="15" xfId="0" applyNumberFormat="1" applyFont="1" applyFill="1" applyBorder="1" applyAlignment="1">
      <alignment horizontal="center" vertical="center"/>
    </xf>
    <xf numFmtId="49" fontId="1" fillId="9" borderId="15" xfId="0" applyNumberFormat="1" applyFont="1" applyFill="1" applyBorder="1" applyAlignment="1">
      <alignment horizontal="center" vertical="center"/>
    </xf>
    <xf numFmtId="49" fontId="1" fillId="9" borderId="11" xfId="0" applyNumberFormat="1" applyFont="1" applyFill="1" applyBorder="1" applyAlignment="1">
      <alignment horizontal="center" vertical="center" wrapText="1"/>
    </xf>
    <xf numFmtId="49" fontId="2" fillId="9" borderId="11" xfId="0" applyNumberFormat="1" applyFont="1" applyFill="1" applyBorder="1" applyAlignment="1">
      <alignment horizontal="center" vertical="center" wrapText="1"/>
    </xf>
    <xf numFmtId="49" fontId="1" fillId="9" borderId="11" xfId="0" applyNumberFormat="1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31" fontId="1" fillId="9" borderId="16" xfId="0" applyNumberFormat="1" applyFont="1" applyFill="1" applyBorder="1" applyAlignment="1">
      <alignment horizontal="center" vertical="center"/>
    </xf>
    <xf numFmtId="31" fontId="1" fillId="9" borderId="11" xfId="0" applyNumberFormat="1" applyFont="1" applyFill="1" applyBorder="1" applyAlignment="1">
      <alignment horizontal="left" vertical="center"/>
    </xf>
    <xf numFmtId="0" fontId="2" fillId="9" borderId="11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180" fontId="11" fillId="0" borderId="13" xfId="0" applyNumberFormat="1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49" fontId="24" fillId="0" borderId="13" xfId="0" applyNumberFormat="1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49" fontId="23" fillId="0" borderId="13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/>
    </xf>
    <xf numFmtId="49" fontId="23" fillId="0" borderId="13" xfId="0" applyNumberFormat="1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31" fontId="23" fillId="0" borderId="13" xfId="0" applyNumberFormat="1" applyFont="1" applyFill="1" applyBorder="1" applyAlignment="1">
      <alignment horizontal="center" vertical="center"/>
    </xf>
    <xf numFmtId="31" fontId="23" fillId="0" borderId="9" xfId="0" applyNumberFormat="1" applyFont="1" applyFill="1" applyBorder="1" applyAlignment="1">
      <alignment horizontal="center" vertical="center"/>
    </xf>
    <xf numFmtId="31" fontId="25" fillId="0" borderId="11" xfId="0" applyNumberFormat="1" applyFont="1" applyFill="1" applyBorder="1" applyAlignment="1">
      <alignment horizontal="left" vertical="center"/>
    </xf>
    <xf numFmtId="49" fontId="2" fillId="0" borderId="17" xfId="0" applyNumberFormat="1" applyFont="1" applyBorder="1" applyAlignment="1">
      <alignment horizontal="center" vertical="center"/>
    </xf>
    <xf numFmtId="0" fontId="0" fillId="0" borderId="11" xfId="0" applyFill="1" applyBorder="1">
      <alignment vertical="center"/>
    </xf>
    <xf numFmtId="49" fontId="2" fillId="0" borderId="18" xfId="0" applyNumberFormat="1" applyFont="1" applyFill="1" applyBorder="1" applyAlignment="1">
      <alignment horizontal="center" vertical="center"/>
    </xf>
    <xf numFmtId="0" fontId="25" fillId="0" borderId="16" xfId="0" applyFont="1" applyFill="1" applyBorder="1" applyAlignment="1">
      <alignment horizontal="left" vertical="center"/>
    </xf>
    <xf numFmtId="0" fontId="25" fillId="0" borderId="11" xfId="0" applyFont="1" applyFill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/>
    </xf>
    <xf numFmtId="49" fontId="23" fillId="0" borderId="11" xfId="0" applyNumberFormat="1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/>
    </xf>
    <xf numFmtId="31" fontId="23" fillId="0" borderId="11" xfId="0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49" fontId="22" fillId="0" borderId="13" xfId="0" applyNumberFormat="1" applyFont="1" applyFill="1" applyBorder="1" applyAlignment="1">
      <alignment horizontal="center" vertical="center"/>
    </xf>
    <xf numFmtId="49" fontId="1" fillId="0" borderId="12" xfId="0" applyNumberFormat="1" applyFont="1" applyFill="1" applyBorder="1" applyAlignment="1">
      <alignment horizontal="center" vertical="center"/>
    </xf>
    <xf numFmtId="49" fontId="21" fillId="0" borderId="13" xfId="0" applyNumberFormat="1" applyFont="1" applyFill="1" applyBorder="1" applyAlignment="1">
      <alignment horizontal="center" vertical="center" wrapText="1"/>
    </xf>
    <xf numFmtId="0" fontId="23" fillId="0" borderId="13" xfId="0" applyNumberFormat="1" applyFont="1" applyFill="1" applyBorder="1" applyAlignment="1">
      <alignment horizontal="center" vertical="center" wrapText="1"/>
    </xf>
    <xf numFmtId="0" fontId="21" fillId="0" borderId="13" xfId="0" applyNumberFormat="1" applyFont="1" applyFill="1" applyBorder="1" applyAlignment="1">
      <alignment horizontal="center" vertical="center" wrapText="1"/>
    </xf>
    <xf numFmtId="49" fontId="1" fillId="0" borderId="13" xfId="0" applyNumberFormat="1" applyFont="1" applyFill="1" applyBorder="1" applyAlignment="1">
      <alignment horizontal="center" vertical="center"/>
    </xf>
    <xf numFmtId="0" fontId="21" fillId="0" borderId="13" xfId="0" applyNumberFormat="1" applyFont="1" applyFill="1" applyBorder="1" applyAlignment="1">
      <alignment horizontal="center" vertical="center"/>
    </xf>
    <xf numFmtId="31" fontId="23" fillId="0" borderId="13" xfId="0" applyNumberFormat="1" applyFont="1" applyFill="1" applyBorder="1" applyAlignment="1">
      <alignment horizontal="center" vertical="center"/>
    </xf>
    <xf numFmtId="31" fontId="21" fillId="0" borderId="13" xfId="0" applyNumberFormat="1" applyFont="1" applyFill="1" applyBorder="1" applyAlignment="1">
      <alignment horizontal="center" vertical="center"/>
    </xf>
    <xf numFmtId="31" fontId="21" fillId="0" borderId="9" xfId="0" applyNumberFormat="1" applyFont="1" applyFill="1" applyBorder="1" applyAlignment="1">
      <alignment horizontal="center" vertical="center"/>
    </xf>
    <xf numFmtId="31" fontId="26" fillId="0" borderId="11" xfId="0" applyNumberFormat="1" applyFont="1" applyFill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49" fontId="23" fillId="0" borderId="13" xfId="0" applyNumberFormat="1" applyFont="1" applyFill="1" applyBorder="1" applyAlignment="1">
      <alignment horizontal="center" vertical="center" wrapText="1"/>
    </xf>
    <xf numFmtId="180" fontId="11" fillId="0" borderId="13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49" fontId="23" fillId="0" borderId="13" xfId="0" applyNumberFormat="1" applyFont="1" applyFill="1" applyBorder="1" applyAlignment="1">
      <alignment horizontal="center" vertical="center"/>
    </xf>
    <xf numFmtId="0" fontId="23" fillId="0" borderId="13" xfId="0" applyNumberFormat="1" applyFont="1" applyFill="1" applyBorder="1" applyAlignment="1">
      <alignment horizontal="center" vertical="center"/>
    </xf>
    <xf numFmtId="49" fontId="2" fillId="0" borderId="13" xfId="0" applyNumberFormat="1" applyFont="1" applyFill="1" applyBorder="1" applyAlignment="1">
      <alignment horizontal="center" vertical="center"/>
    </xf>
    <xf numFmtId="181" fontId="12" fillId="0" borderId="13" xfId="0" applyNumberFormat="1" applyFont="1" applyFill="1" applyBorder="1" applyAlignment="1">
      <alignment horizontal="center" vertical="center"/>
    </xf>
    <xf numFmtId="49" fontId="24" fillId="0" borderId="13" xfId="0" applyNumberFormat="1" applyFont="1" applyFill="1" applyBorder="1" applyAlignment="1">
      <alignment horizontal="center" vertical="center"/>
    </xf>
    <xf numFmtId="49" fontId="2" fillId="7" borderId="12" xfId="0" applyNumberFormat="1" applyFont="1" applyFill="1" applyBorder="1" applyAlignment="1">
      <alignment horizontal="center" vertical="center"/>
    </xf>
    <xf numFmtId="49" fontId="1" fillId="7" borderId="12" xfId="0" applyNumberFormat="1" applyFont="1" applyFill="1" applyBorder="1" applyAlignment="1">
      <alignment horizontal="center" vertical="center"/>
    </xf>
    <xf numFmtId="49" fontId="21" fillId="7" borderId="13" xfId="0" applyNumberFormat="1" applyFont="1" applyFill="1" applyBorder="1" applyAlignment="1">
      <alignment horizontal="center" vertical="center"/>
    </xf>
    <xf numFmtId="0" fontId="23" fillId="7" borderId="13" xfId="0" applyNumberFormat="1" applyFont="1" applyFill="1" applyBorder="1" applyAlignment="1">
      <alignment horizontal="center" vertical="center"/>
    </xf>
    <xf numFmtId="0" fontId="21" fillId="7" borderId="13" xfId="0" applyNumberFormat="1" applyFont="1" applyFill="1" applyBorder="1" applyAlignment="1">
      <alignment horizontal="center" vertical="center"/>
    </xf>
    <xf numFmtId="49" fontId="1" fillId="7" borderId="13" xfId="0" applyNumberFormat="1" applyFont="1" applyFill="1" applyBorder="1" applyAlignment="1">
      <alignment horizontal="center" vertical="center"/>
    </xf>
    <xf numFmtId="31" fontId="23" fillId="7" borderId="13" xfId="0" applyNumberFormat="1" applyFont="1" applyFill="1" applyBorder="1" applyAlignment="1">
      <alignment horizontal="center" vertical="center"/>
    </xf>
    <xf numFmtId="31" fontId="21" fillId="7" borderId="13" xfId="0" applyNumberFormat="1" applyFont="1" applyFill="1" applyBorder="1" applyAlignment="1">
      <alignment horizontal="center" vertical="center"/>
    </xf>
    <xf numFmtId="31" fontId="21" fillId="7" borderId="9" xfId="0" applyNumberFormat="1" applyFont="1" applyFill="1" applyBorder="1" applyAlignment="1">
      <alignment horizontal="center" vertical="center"/>
    </xf>
    <xf numFmtId="0" fontId="26" fillId="7" borderId="11" xfId="0" applyNumberFormat="1" applyFont="1" applyFill="1" applyBorder="1" applyAlignment="1">
      <alignment horizontal="left" vertical="center"/>
    </xf>
    <xf numFmtId="31" fontId="26" fillId="7" borderId="11" xfId="0" applyNumberFormat="1" applyFont="1" applyFill="1" applyBorder="1" applyAlignment="1">
      <alignment horizontal="left" vertical="center"/>
    </xf>
    <xf numFmtId="31" fontId="26" fillId="7" borderId="16" xfId="0" applyNumberFormat="1" applyFont="1" applyFill="1" applyBorder="1" applyAlignment="1">
      <alignment horizontal="center" vertical="center"/>
    </xf>
    <xf numFmtId="0" fontId="0" fillId="7" borderId="11" xfId="0" applyFill="1" applyBorder="1">
      <alignment vertical="center"/>
    </xf>
    <xf numFmtId="49" fontId="23" fillId="7" borderId="13" xfId="0" applyNumberFormat="1" applyFont="1" applyFill="1" applyBorder="1" applyAlignment="1">
      <alignment horizontal="center" vertical="center" wrapText="1"/>
    </xf>
    <xf numFmtId="0" fontId="23" fillId="7" borderId="13" xfId="0" applyNumberFormat="1" applyFont="1" applyFill="1" applyBorder="1" applyAlignment="1">
      <alignment horizontal="center" vertical="center" wrapText="1"/>
    </xf>
    <xf numFmtId="0" fontId="23" fillId="0" borderId="13" xfId="0" applyNumberFormat="1" applyFont="1" applyFill="1" applyBorder="1" applyAlignment="1">
      <alignment horizontal="center" vertical="center"/>
    </xf>
    <xf numFmtId="49" fontId="2" fillId="7" borderId="13" xfId="0" applyNumberFormat="1" applyFont="1" applyFill="1" applyBorder="1" applyAlignment="1">
      <alignment horizontal="center" vertical="center"/>
    </xf>
    <xf numFmtId="49" fontId="2" fillId="7" borderId="12" xfId="0" applyNumberFormat="1" applyFont="1" applyFill="1" applyBorder="1" applyAlignment="1">
      <alignment horizontal="center" vertical="center"/>
    </xf>
    <xf numFmtId="49" fontId="23" fillId="7" borderId="13" xfId="0" applyNumberFormat="1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49" fontId="23" fillId="7" borderId="13" xfId="0" applyNumberFormat="1" applyFont="1" applyFill="1" applyBorder="1" applyAlignment="1">
      <alignment horizontal="center" vertical="center"/>
    </xf>
    <xf numFmtId="31" fontId="23" fillId="7" borderId="9" xfId="0" applyNumberFormat="1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left" vertical="center"/>
    </xf>
    <xf numFmtId="0" fontId="26" fillId="7" borderId="2" xfId="0" applyFont="1" applyFill="1" applyBorder="1" applyAlignment="1">
      <alignment horizontal="left" vertical="center"/>
    </xf>
    <xf numFmtId="0" fontId="26" fillId="7" borderId="3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4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left" vertical="center"/>
    </xf>
    <xf numFmtId="0" fontId="2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9">
    <dxf>
      <font>
        <color theme="2" tint="-0.249947"/>
      </font>
      <fill>
        <patternFill patternType="solid">
          <bgColor theme="7" tint="0.399945"/>
        </patternFill>
      </fill>
    </dxf>
    <dxf>
      <font>
        <color rgb="FF0070C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6" tint="-0.499985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5" tint="-0.249947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7030A0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6" tint="-0.499985"/>
      </font>
      <fill>
        <patternFill patternType="none"/>
      </fill>
    </dxf>
    <dxf>
      <font>
        <color theme="5" tint="-0.249947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theme="5" tint="-0.249947"/>
      </font>
      <fill>
        <patternFill patternType="solid">
          <bgColor theme="5" tint="0.599963"/>
        </patternFill>
      </fill>
    </dxf>
    <dxf>
      <fill>
        <patternFill patternType="solid">
          <bgColor theme="6" tint="0.599963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4" tint="-0.249947"/>
      </font>
      <fill>
        <patternFill patternType="solid">
          <bgColor theme="4" tint="0.599963"/>
        </patternFill>
      </fill>
    </dxf>
    <dxf>
      <font>
        <color theme="8" tint="-0.249947"/>
      </font>
      <fill>
        <patternFill patternType="solid">
          <bgColor theme="8" tint="0.799982"/>
        </patternFill>
      </fill>
    </dxf>
    <dxf>
      <fill>
        <patternFill patternType="solid">
          <bgColor theme="8" tint="0.799982"/>
        </patternFill>
      </fill>
    </dxf>
    <dxf>
      <fill>
        <patternFill patternType="solid">
          <bgColor theme="8" tint="0.399945"/>
        </patternFill>
      </fill>
    </dxf>
    <dxf>
      <font>
        <color theme="9" tint="-0.249947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8" tint="-0.249947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9" tint="0.399945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8" tint="0.399945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8" tint="-0.499985"/>
      </font>
      <fill>
        <patternFill patternType="none"/>
      </fill>
    </dxf>
    <dxf>
      <font>
        <color theme="9" tint="-0.249947"/>
      </font>
      <fill>
        <patternFill patternType="solid">
          <bgColor theme="9" tint="0.79998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教师名单汇总"/>
  <dimension ref="A1:AV30"/>
  <sheetViews>
    <sheetView showGridLines="0" tabSelected="1" workbookViewId="0">
      <pane xSplit="10" ySplit="3" topLeftCell="R11" activePane="bottomRight" state="frozen"/>
      <selection/>
      <selection pane="topRight"/>
      <selection pane="bottomLeft"/>
      <selection pane="bottomRight" activeCell="C24" sqref="C24"/>
    </sheetView>
  </sheetViews>
  <sheetFormatPr defaultColWidth="5.83333333333333" defaultRowHeight="16.5" customHeight="1"/>
  <cols>
    <col min="1" max="1" width="1.83333333333333" style="12" hidden="1" customWidth="1"/>
    <col min="2" max="2" width="13.1666666666667" style="15" customWidth="1"/>
    <col min="3" max="3" width="5" style="16" customWidth="1"/>
    <col min="4" max="4" width="15.8416666666667" style="17" customWidth="1"/>
    <col min="5" max="5" width="7.3" style="18" customWidth="1"/>
    <col min="6" max="6" width="7.75" style="16" customWidth="1"/>
    <col min="7" max="7" width="8.75833333333333" style="16" customWidth="1"/>
    <col min="8" max="8" width="10.1083333333333" style="19" customWidth="1"/>
    <col min="9" max="9" width="10.675" style="20" customWidth="1"/>
    <col min="10" max="10" width="7.33333333333333" style="20" customWidth="1"/>
    <col min="11" max="11" width="8.54166666666667" style="16" customWidth="1"/>
    <col min="12" max="12" width="8.33333333333333" style="16" customWidth="1"/>
    <col min="13" max="13" width="7.75" style="16" customWidth="1"/>
    <col min="14" max="14" width="9.89166666666667" style="20" customWidth="1"/>
    <col min="15" max="16" width="9.89166666666667" style="19" customWidth="1"/>
    <col min="17" max="17" width="9.89166666666667" style="20" customWidth="1"/>
    <col min="18" max="18" width="13.4833333333333" style="20" customWidth="1"/>
    <col min="19" max="19" width="14.825" style="21" customWidth="1"/>
    <col min="20" max="20" width="16.85" style="22" customWidth="1"/>
    <col min="21" max="21" width="24.5" style="22" customWidth="1"/>
    <col min="22" max="31" width="6.85" style="12" customWidth="1"/>
    <col min="32" max="48" width="5.83333333333333" style="12"/>
  </cols>
  <sheetData>
    <row r="1" ht="42" customHeight="1" spans="1:48">
      <c r="C1" s="23"/>
      <c r="D1" s="24" t="s">
        <v>0</v>
      </c>
      <c r="E1" s="25"/>
      <c r="F1" s="26"/>
      <c r="G1" s="26"/>
      <c r="J1" s="26"/>
      <c r="K1" s="26"/>
      <c r="L1" s="26"/>
      <c r="M1" s="26"/>
      <c r="N1" s="27"/>
      <c r="O1" s="25"/>
      <c r="P1" s="25"/>
      <c r="Q1" s="26"/>
      <c r="R1" s="26"/>
      <c r="S1" s="28"/>
      <c r="T1" s="29"/>
      <c r="U1" s="29"/>
      <c r="W1" s="30" t="s">
        <v>1</v>
      </c>
      <c r="AA1" s="31"/>
      <c r="AB1" s="31"/>
      <c r="AC1" s="31"/>
      <c r="AD1" s="31"/>
      <c r="AE1" s="31"/>
    </row>
    <row r="2" ht="29.25" customHeight="1" spans="1:48">
      <c r="B2" s="32" t="s">
        <v>2</v>
      </c>
      <c r="C2" s="33"/>
      <c r="D2" s="34" t="s">
        <v>3</v>
      </c>
      <c r="E2" s="35"/>
      <c r="F2" s="36"/>
      <c r="G2" s="37" t="s">
        <v>4</v>
      </c>
      <c r="H2" s="38"/>
      <c r="I2" s="39"/>
      <c r="J2" s="36"/>
      <c r="K2" s="37" t="s">
        <v>5</v>
      </c>
      <c r="L2" s="39"/>
      <c r="M2" s="36"/>
      <c r="N2" s="37" t="s">
        <v>6</v>
      </c>
      <c r="O2" s="38"/>
      <c r="P2" s="38"/>
      <c r="Q2" s="39"/>
      <c r="R2" s="39"/>
      <c r="S2" s="40" t="s">
        <v>7</v>
      </c>
      <c r="T2" s="40" t="s">
        <v>8</v>
      </c>
      <c r="U2" s="37" t="s">
        <v>9</v>
      </c>
      <c r="V2" s="41"/>
      <c r="W2" s="41" t="s">
        <v>10</v>
      </c>
      <c r="X2" s="42" t="s">
        <v>11</v>
      </c>
      <c r="Y2" s="41" t="s">
        <v>12</v>
      </c>
      <c r="Z2" s="42" t="s">
        <v>13</v>
      </c>
      <c r="AA2" s="42" t="s">
        <v>14</v>
      </c>
      <c r="AB2" s="43" t="s">
        <v>15</v>
      </c>
      <c r="AC2" s="43" t="s">
        <v>16</v>
      </c>
      <c r="AD2" s="43" t="s">
        <v>17</v>
      </c>
      <c r="AE2" s="43" t="s">
        <v>18</v>
      </c>
    </row>
    <row r="3" s="11" customFormat="1" ht="26.25" customHeight="1" spans="1:48">
      <c r="A3" s="44"/>
      <c r="B3" s="45">
        <f>SUM(B4:B106)</f>
        <v>20</v>
      </c>
      <c r="C3" s="46">
        <f>SUBTOTAL(9,C4:C106)</f>
        <v>20</v>
      </c>
      <c r="D3" s="47" t="s">
        <v>19</v>
      </c>
      <c r="E3" s="48" t="s">
        <v>20</v>
      </c>
      <c r="F3" s="49" t="s">
        <v>21</v>
      </c>
      <c r="G3" s="50" t="s">
        <v>22</v>
      </c>
      <c r="H3" s="51" t="s">
        <v>23</v>
      </c>
      <c r="I3" s="50" t="s">
        <v>24</v>
      </c>
      <c r="J3" s="52" t="s">
        <v>25</v>
      </c>
      <c r="K3" s="53" t="s">
        <v>26</v>
      </c>
      <c r="L3" s="53" t="s">
        <v>27</v>
      </c>
      <c r="M3" s="53" t="s">
        <v>28</v>
      </c>
      <c r="N3" s="54" t="s">
        <v>29</v>
      </c>
      <c r="O3" s="55" t="s">
        <v>30</v>
      </c>
      <c r="P3" s="55" t="s">
        <v>31</v>
      </c>
      <c r="Q3" s="56" t="s">
        <v>32</v>
      </c>
      <c r="R3" s="53" t="s">
        <v>33</v>
      </c>
      <c r="S3" s="52"/>
      <c r="T3" s="52"/>
      <c r="U3" s="57"/>
      <c r="V3" s="58"/>
      <c r="W3" s="59">
        <f t="shared" ref="W3:AE3" si="0">SUM(W4:W338)</f>
        <v>4</v>
      </c>
      <c r="X3" s="59">
        <f t="shared" si="0"/>
        <v>15</v>
      </c>
      <c r="Y3" s="59">
        <f t="shared" si="0"/>
        <v>8</v>
      </c>
      <c r="Z3" s="59">
        <f t="shared" si="0"/>
        <v>3</v>
      </c>
      <c r="AA3" s="59">
        <f t="shared" si="0"/>
        <v>10</v>
      </c>
      <c r="AB3" s="59">
        <f t="shared" si="0"/>
        <v>4</v>
      </c>
      <c r="AC3" s="59">
        <f t="shared" si="0"/>
        <v>3</v>
      </c>
      <c r="AD3" s="59">
        <f t="shared" si="0"/>
        <v>6</v>
      </c>
      <c r="AE3" s="59">
        <f t="shared" si="0"/>
        <v>14</v>
      </c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</row>
    <row r="4" ht="21" customHeight="1" spans="1:48">
      <c r="B4" s="60">
        <f>C4</f>
        <v>1</v>
      </c>
      <c r="C4" s="61">
        <v>1</v>
      </c>
      <c r="D4" s="62" t="s">
        <v>34</v>
      </c>
      <c r="E4" s="63" t="s">
        <v>35</v>
      </c>
      <c r="F4" s="64" t="s">
        <v>36</v>
      </c>
      <c r="G4" s="65" t="s">
        <v>37</v>
      </c>
      <c r="H4" s="66"/>
      <c r="I4" s="65" t="s">
        <v>38</v>
      </c>
      <c r="J4" s="65" t="s">
        <v>39</v>
      </c>
      <c r="K4" s="65" t="s">
        <v>40</v>
      </c>
      <c r="L4" s="65" t="s">
        <v>41</v>
      </c>
      <c r="M4" s="65" t="s">
        <v>42</v>
      </c>
      <c r="N4" s="67"/>
      <c r="O4" s="68">
        <v>2015</v>
      </c>
      <c r="P4" s="68"/>
      <c r="Q4" s="67">
        <v>2017</v>
      </c>
      <c r="R4" s="69" t="s">
        <v>43</v>
      </c>
      <c r="S4" s="70" t="s">
        <v>44</v>
      </c>
      <c r="T4" s="65" t="s">
        <v>45</v>
      </c>
      <c r="U4" s="71" t="s">
        <v>46</v>
      </c>
      <c r="V4" s="68"/>
      <c r="W4" s="68">
        <v>1</v>
      </c>
      <c r="X4" s="68">
        <v>1</v>
      </c>
      <c r="Y4" s="68">
        <v>1</v>
      </c>
      <c r="Z4" s="68">
        <v>1</v>
      </c>
      <c r="AA4" s="68">
        <v>1</v>
      </c>
      <c r="AB4" s="68">
        <v>1</v>
      </c>
      <c r="AC4" s="68">
        <v>1</v>
      </c>
      <c r="AD4" s="68">
        <v>1</v>
      </c>
      <c r="AE4" s="68">
        <v>1</v>
      </c>
    </row>
    <row r="5" s="12" customFormat="1" ht="21" customHeight="1" spans="1:48">
      <c r="B5" s="72">
        <f>SUM(C5)</f>
        <v>1</v>
      </c>
      <c r="C5" s="73">
        <v>1</v>
      </c>
      <c r="D5" s="62" t="s">
        <v>47</v>
      </c>
      <c r="E5" s="74" t="s">
        <v>48</v>
      </c>
      <c r="F5" s="75" t="s">
        <v>49</v>
      </c>
      <c r="G5" s="76" t="s">
        <v>50</v>
      </c>
      <c r="H5" s="77"/>
      <c r="I5" s="76" t="s">
        <v>51</v>
      </c>
      <c r="J5" s="76" t="s">
        <v>52</v>
      </c>
      <c r="K5" s="76" t="s">
        <v>40</v>
      </c>
      <c r="L5" s="76" t="s">
        <v>53</v>
      </c>
      <c r="M5" s="76" t="s">
        <v>53</v>
      </c>
      <c r="N5" s="78"/>
      <c r="O5" s="79">
        <v>2018</v>
      </c>
      <c r="P5" s="79"/>
      <c r="Q5" s="78">
        <v>2023</v>
      </c>
      <c r="R5" s="80">
        <v>47026</v>
      </c>
      <c r="S5" s="81"/>
      <c r="T5" s="76" t="s">
        <v>54</v>
      </c>
      <c r="U5" s="82" t="s">
        <v>55</v>
      </c>
      <c r="V5" s="79"/>
      <c r="W5" s="79"/>
      <c r="X5" s="79">
        <v>1</v>
      </c>
      <c r="Y5" s="79">
        <v>1</v>
      </c>
      <c r="Z5" s="79"/>
      <c r="AA5" s="79">
        <v>1</v>
      </c>
      <c r="AB5" s="79"/>
      <c r="AC5" s="79"/>
      <c r="AD5" s="79">
        <v>1</v>
      </c>
      <c r="AE5" s="79">
        <v>1</v>
      </c>
    </row>
    <row r="6" s="13" customFormat="1" ht="21" customHeight="1" spans="1:48">
      <c r="A6" s="83"/>
      <c r="B6" s="84">
        <f>SUM(C6:C11)</f>
        <v>6</v>
      </c>
      <c r="C6" s="61">
        <v>1</v>
      </c>
      <c r="D6" s="62" t="s">
        <v>56</v>
      </c>
      <c r="E6" s="85" t="s">
        <v>57</v>
      </c>
      <c r="F6" s="86" t="s">
        <v>58</v>
      </c>
      <c r="G6" s="87" t="s">
        <v>59</v>
      </c>
      <c r="H6" s="88"/>
      <c r="I6" s="87" t="s">
        <v>60</v>
      </c>
      <c r="J6" s="89" t="s">
        <v>39</v>
      </c>
      <c r="K6" s="87" t="s">
        <v>40</v>
      </c>
      <c r="L6" s="87" t="s">
        <v>53</v>
      </c>
      <c r="M6" s="87" t="s">
        <v>53</v>
      </c>
      <c r="N6" s="90"/>
      <c r="O6" s="91">
        <v>2023</v>
      </c>
      <c r="P6" s="91">
        <v>2024</v>
      </c>
      <c r="Q6" s="92"/>
      <c r="R6" s="92">
        <v>47026</v>
      </c>
      <c r="S6" s="93"/>
      <c r="T6" s="87" t="s">
        <v>61</v>
      </c>
      <c r="U6" s="87" t="s">
        <v>62</v>
      </c>
      <c r="V6" s="88"/>
      <c r="W6" s="94"/>
      <c r="X6" s="94">
        <v>1</v>
      </c>
      <c r="Y6" s="94"/>
      <c r="Z6" s="94"/>
      <c r="AA6" s="94"/>
      <c r="AB6" s="94">
        <v>1</v>
      </c>
      <c r="AC6" s="94"/>
      <c r="AD6" s="94"/>
      <c r="AE6" s="94">
        <v>1</v>
      </c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</row>
    <row r="7" s="13" customFormat="1" ht="21" customHeight="1" spans="1:48">
      <c r="A7" s="83"/>
      <c r="B7" s="84"/>
      <c r="C7" s="61">
        <v>1</v>
      </c>
      <c r="D7" s="62" t="s">
        <v>56</v>
      </c>
      <c r="E7" s="85" t="s">
        <v>57</v>
      </c>
      <c r="F7" s="86" t="s">
        <v>58</v>
      </c>
      <c r="G7" s="87" t="s">
        <v>63</v>
      </c>
      <c r="H7" s="94"/>
      <c r="I7" s="95" t="s">
        <v>64</v>
      </c>
      <c r="J7" s="89" t="s">
        <v>52</v>
      </c>
      <c r="K7" s="87" t="s">
        <v>40</v>
      </c>
      <c r="L7" s="87" t="s">
        <v>53</v>
      </c>
      <c r="M7" s="87" t="s">
        <v>53</v>
      </c>
      <c r="N7" s="90"/>
      <c r="O7" s="91">
        <v>2023</v>
      </c>
      <c r="P7" s="91">
        <v>2025</v>
      </c>
      <c r="Q7" s="92"/>
      <c r="R7" s="92">
        <v>47026</v>
      </c>
      <c r="S7" s="93"/>
      <c r="T7" s="87" t="s">
        <v>65</v>
      </c>
      <c r="U7" s="87" t="s">
        <v>66</v>
      </c>
      <c r="V7" s="88"/>
      <c r="W7" s="94"/>
      <c r="X7" s="94">
        <v>1</v>
      </c>
      <c r="Y7" s="94">
        <v>1</v>
      </c>
      <c r="Z7" s="94"/>
      <c r="AA7" s="94"/>
      <c r="AB7" s="94"/>
      <c r="AC7" s="94"/>
      <c r="AD7" s="94"/>
      <c r="AE7" s="94">
        <v>1</v>
      </c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</row>
    <row r="8" s="13" customFormat="1" ht="21" customHeight="1" spans="1:48">
      <c r="A8" s="83"/>
      <c r="B8" s="84"/>
      <c r="C8" s="61">
        <v>1</v>
      </c>
      <c r="D8" s="62" t="s">
        <v>56</v>
      </c>
      <c r="E8" s="85" t="s">
        <v>57</v>
      </c>
      <c r="F8" s="86" t="s">
        <v>58</v>
      </c>
      <c r="G8" s="87" t="s">
        <v>67</v>
      </c>
      <c r="H8" s="94"/>
      <c r="I8" s="95" t="s">
        <v>68</v>
      </c>
      <c r="J8" s="89" t="s">
        <v>52</v>
      </c>
      <c r="K8" s="87" t="s">
        <v>40</v>
      </c>
      <c r="L8" s="87" t="s">
        <v>53</v>
      </c>
      <c r="M8" s="87" t="s">
        <v>53</v>
      </c>
      <c r="N8" s="90"/>
      <c r="O8" s="91">
        <v>2023</v>
      </c>
      <c r="P8" s="91">
        <v>2025</v>
      </c>
      <c r="Q8" s="92"/>
      <c r="R8" s="92">
        <v>47026</v>
      </c>
      <c r="S8" s="93"/>
      <c r="T8" s="87" t="s">
        <v>69</v>
      </c>
      <c r="U8" s="87" t="s">
        <v>70</v>
      </c>
      <c r="V8" s="88"/>
      <c r="W8" s="94"/>
      <c r="X8" s="94">
        <v>1</v>
      </c>
      <c r="Y8" s="94">
        <v>1</v>
      </c>
      <c r="Z8" s="94"/>
      <c r="AA8" s="94">
        <v>1</v>
      </c>
      <c r="AB8" s="94"/>
      <c r="AC8" s="94"/>
      <c r="AD8" s="94"/>
      <c r="AE8" s="94">
        <v>1</v>
      </c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</row>
    <row r="9" s="13" customFormat="1" ht="21" customHeight="1" spans="1:48">
      <c r="A9" s="83"/>
      <c r="B9" s="84"/>
      <c r="C9" s="61">
        <v>1</v>
      </c>
      <c r="D9" s="62" t="s">
        <v>56</v>
      </c>
      <c r="E9" s="85" t="s">
        <v>57</v>
      </c>
      <c r="F9" s="86" t="s">
        <v>58</v>
      </c>
      <c r="G9" s="87" t="s">
        <v>71</v>
      </c>
      <c r="H9" s="94"/>
      <c r="I9" s="95" t="s">
        <v>72</v>
      </c>
      <c r="J9" s="89" t="s">
        <v>52</v>
      </c>
      <c r="K9" s="87" t="s">
        <v>40</v>
      </c>
      <c r="L9" s="87" t="s">
        <v>53</v>
      </c>
      <c r="M9" s="87" t="s">
        <v>53</v>
      </c>
      <c r="N9" s="90"/>
      <c r="O9" s="91">
        <v>2023</v>
      </c>
      <c r="P9" s="91">
        <v>2025</v>
      </c>
      <c r="Q9" s="92"/>
      <c r="R9" s="92">
        <v>47026</v>
      </c>
      <c r="S9" s="93"/>
      <c r="T9" s="87" t="s">
        <v>73</v>
      </c>
      <c r="U9" s="87" t="s">
        <v>74</v>
      </c>
      <c r="V9" s="88"/>
      <c r="W9" s="94"/>
      <c r="X9" s="94">
        <v>1</v>
      </c>
      <c r="Y9" s="94">
        <v>1</v>
      </c>
      <c r="Z9" s="94"/>
      <c r="AA9" s="94">
        <v>1</v>
      </c>
      <c r="AB9" s="94"/>
      <c r="AC9" s="94"/>
      <c r="AD9" s="94"/>
      <c r="AE9" s="94">
        <v>1</v>
      </c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</row>
    <row r="10" s="13" customFormat="1" ht="21" customHeight="1" spans="1:48">
      <c r="A10" s="83"/>
      <c r="B10" s="84"/>
      <c r="C10" s="61">
        <v>1</v>
      </c>
      <c r="D10" s="62" t="s">
        <v>56</v>
      </c>
      <c r="E10" s="85" t="s">
        <v>57</v>
      </c>
      <c r="F10" s="86" t="s">
        <v>58</v>
      </c>
      <c r="G10" s="87" t="s">
        <v>75</v>
      </c>
      <c r="H10" s="94"/>
      <c r="I10" s="95" t="s">
        <v>76</v>
      </c>
      <c r="J10" s="89" t="s">
        <v>52</v>
      </c>
      <c r="K10" s="87" t="s">
        <v>40</v>
      </c>
      <c r="L10" s="87" t="s">
        <v>53</v>
      </c>
      <c r="M10" s="87" t="s">
        <v>53</v>
      </c>
      <c r="N10" s="90"/>
      <c r="O10" s="91">
        <v>2023</v>
      </c>
      <c r="P10" s="91">
        <v>2025</v>
      </c>
      <c r="Q10" s="92"/>
      <c r="R10" s="92">
        <v>47026</v>
      </c>
      <c r="S10" s="93"/>
      <c r="T10" s="87" t="s">
        <v>77</v>
      </c>
      <c r="U10" s="87" t="s">
        <v>78</v>
      </c>
      <c r="V10" s="88"/>
      <c r="W10" s="94"/>
      <c r="X10" s="94">
        <v>1</v>
      </c>
      <c r="Y10" s="94">
        <v>1</v>
      </c>
      <c r="Z10" s="94"/>
      <c r="AA10" s="94">
        <v>1</v>
      </c>
      <c r="AB10" s="94"/>
      <c r="AC10" s="94"/>
      <c r="AD10" s="94"/>
      <c r="AE10" s="94">
        <v>1</v>
      </c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</row>
    <row r="11" s="13" customFormat="1" ht="21" customHeight="1" spans="1:48">
      <c r="A11" s="83"/>
      <c r="B11" s="84"/>
      <c r="C11" s="61">
        <v>1</v>
      </c>
      <c r="D11" s="62" t="s">
        <v>56</v>
      </c>
      <c r="E11" s="85" t="s">
        <v>57</v>
      </c>
      <c r="F11" s="86" t="s">
        <v>58</v>
      </c>
      <c r="G11" s="87" t="s">
        <v>79</v>
      </c>
      <c r="H11" s="94" t="s">
        <v>80</v>
      </c>
      <c r="I11" s="95" t="s">
        <v>81</v>
      </c>
      <c r="J11" s="89" t="s">
        <v>52</v>
      </c>
      <c r="K11" s="87" t="s">
        <v>40</v>
      </c>
      <c r="L11" s="87" t="s">
        <v>53</v>
      </c>
      <c r="M11" s="87" t="s">
        <v>53</v>
      </c>
      <c r="N11" s="90"/>
      <c r="O11" s="91">
        <v>2023</v>
      </c>
      <c r="P11" s="91">
        <v>2025</v>
      </c>
      <c r="Q11" s="92"/>
      <c r="R11" s="92">
        <v>47026</v>
      </c>
      <c r="S11" s="93"/>
      <c r="T11" s="87" t="s">
        <v>82</v>
      </c>
      <c r="U11" s="87" t="s">
        <v>83</v>
      </c>
      <c r="V11" s="88"/>
      <c r="W11" s="94"/>
      <c r="X11" s="94">
        <v>1</v>
      </c>
      <c r="Y11" s="94">
        <v>1</v>
      </c>
      <c r="Z11" s="94"/>
      <c r="AA11" s="94">
        <v>1</v>
      </c>
      <c r="AB11" s="94"/>
      <c r="AC11" s="94"/>
      <c r="AD11" s="94"/>
      <c r="AE11" s="94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</row>
    <row r="12" s="12" customFormat="1" ht="21" customHeight="1" spans="1:48">
      <c r="B12" s="96">
        <f>SUM(C12:C21)</f>
        <v>10</v>
      </c>
      <c r="C12" s="97">
        <v>1</v>
      </c>
      <c r="D12" s="98" t="s">
        <v>84</v>
      </c>
      <c r="E12" s="99" t="s">
        <v>85</v>
      </c>
      <c r="F12" s="100" t="s">
        <v>86</v>
      </c>
      <c r="G12" s="101" t="s">
        <v>87</v>
      </c>
      <c r="H12" s="101"/>
      <c r="I12" s="101" t="s">
        <v>88</v>
      </c>
      <c r="J12" s="102" t="s">
        <v>52</v>
      </c>
      <c r="K12" s="103" t="s">
        <v>40</v>
      </c>
      <c r="L12" s="103" t="s">
        <v>53</v>
      </c>
      <c r="M12" s="103" t="s">
        <v>53</v>
      </c>
      <c r="N12" s="104"/>
      <c r="O12" s="104">
        <v>2014</v>
      </c>
      <c r="P12" s="105"/>
      <c r="Q12" s="105"/>
      <c r="R12" s="106">
        <v>47026</v>
      </c>
      <c r="S12" s="107"/>
      <c r="T12" s="79">
        <v>18610174054</v>
      </c>
      <c r="U12" s="108" t="s">
        <v>89</v>
      </c>
      <c r="V12" s="109"/>
      <c r="W12" s="101"/>
      <c r="X12" s="101">
        <v>1</v>
      </c>
      <c r="Y12" s="101"/>
      <c r="Z12" s="101"/>
      <c r="AA12" s="101"/>
      <c r="AB12" s="101">
        <v>1</v>
      </c>
      <c r="AC12" s="101"/>
      <c r="AD12" s="101"/>
      <c r="AE12" s="101"/>
    </row>
    <row r="13" s="12" customFormat="1" ht="21" customHeight="1" spans="1:48">
      <c r="B13" s="96"/>
      <c r="C13" s="97">
        <v>1</v>
      </c>
      <c r="D13" s="98" t="s">
        <v>84</v>
      </c>
      <c r="E13" s="110" t="s">
        <v>85</v>
      </c>
      <c r="F13" s="100" t="s">
        <v>86</v>
      </c>
      <c r="G13" s="101" t="s">
        <v>90</v>
      </c>
      <c r="H13" s="101"/>
      <c r="I13" s="101" t="s">
        <v>91</v>
      </c>
      <c r="J13" s="102" t="s">
        <v>52</v>
      </c>
      <c r="K13" s="101" t="s">
        <v>40</v>
      </c>
      <c r="L13" s="101" t="s">
        <v>53</v>
      </c>
      <c r="M13" s="101" t="s">
        <v>53</v>
      </c>
      <c r="N13" s="104"/>
      <c r="O13" s="104">
        <v>2016</v>
      </c>
      <c r="P13" s="105"/>
      <c r="Q13" s="105"/>
      <c r="R13" s="106">
        <v>47026</v>
      </c>
      <c r="S13" s="111"/>
      <c r="T13" s="79">
        <v>13651399281</v>
      </c>
      <c r="U13" s="108" t="s">
        <v>92</v>
      </c>
      <c r="V13" s="109"/>
      <c r="W13" s="101"/>
      <c r="X13" s="101">
        <v>1</v>
      </c>
      <c r="Y13" s="101"/>
      <c r="Z13" s="101"/>
      <c r="AA13" s="101">
        <v>1</v>
      </c>
      <c r="AB13" s="101"/>
      <c r="AC13" s="101"/>
      <c r="AD13" s="101">
        <v>1</v>
      </c>
      <c r="AE13" s="101">
        <v>1</v>
      </c>
    </row>
    <row r="14" s="12" customFormat="1" ht="21" customHeight="1" spans="1:48">
      <c r="B14" s="96"/>
      <c r="C14" s="97">
        <v>1</v>
      </c>
      <c r="D14" s="98" t="s">
        <v>84</v>
      </c>
      <c r="E14" s="110" t="s">
        <v>85</v>
      </c>
      <c r="F14" s="100" t="s">
        <v>86</v>
      </c>
      <c r="G14" s="101" t="s">
        <v>93</v>
      </c>
      <c r="H14" s="101"/>
      <c r="I14" s="101" t="s">
        <v>94</v>
      </c>
      <c r="J14" s="102" t="s">
        <v>52</v>
      </c>
      <c r="K14" s="101" t="s">
        <v>40</v>
      </c>
      <c r="L14" s="101" t="s">
        <v>53</v>
      </c>
      <c r="M14" s="101" t="s">
        <v>53</v>
      </c>
      <c r="N14" s="104"/>
      <c r="O14" s="104">
        <v>2018</v>
      </c>
      <c r="P14" s="105"/>
      <c r="Q14" s="105"/>
      <c r="R14" s="106">
        <v>47391</v>
      </c>
      <c r="S14" s="112"/>
      <c r="T14" s="113">
        <v>18515673143</v>
      </c>
      <c r="U14" s="114" t="s">
        <v>95</v>
      </c>
      <c r="V14" s="109"/>
      <c r="W14" s="101">
        <v>1</v>
      </c>
      <c r="X14" s="101">
        <v>1</v>
      </c>
      <c r="Y14" s="101"/>
      <c r="Z14" s="101"/>
      <c r="AA14" s="101"/>
      <c r="AB14" s="101"/>
      <c r="AC14" s="101"/>
      <c r="AD14" s="101">
        <v>1</v>
      </c>
      <c r="AE14" s="101"/>
    </row>
    <row r="15" s="12" customFormat="1" ht="21" customHeight="1" spans="1:48">
      <c r="B15" s="96"/>
      <c r="C15" s="97">
        <v>1</v>
      </c>
      <c r="D15" s="98" t="s">
        <v>84</v>
      </c>
      <c r="E15" s="110" t="s">
        <v>85</v>
      </c>
      <c r="F15" s="100" t="s">
        <v>86</v>
      </c>
      <c r="G15" s="101" t="s">
        <v>96</v>
      </c>
      <c r="H15" s="101"/>
      <c r="I15" s="101" t="s">
        <v>97</v>
      </c>
      <c r="J15" s="102" t="s">
        <v>52</v>
      </c>
      <c r="K15" s="101" t="s">
        <v>40</v>
      </c>
      <c r="L15" s="101" t="s">
        <v>53</v>
      </c>
      <c r="M15" s="103" t="s">
        <v>53</v>
      </c>
      <c r="N15" s="104"/>
      <c r="O15" s="104">
        <v>2019</v>
      </c>
      <c r="P15" s="105"/>
      <c r="Q15" s="105"/>
      <c r="R15" s="106">
        <v>47026</v>
      </c>
      <c r="S15" s="112"/>
      <c r="T15" s="115">
        <v>13810376833</v>
      </c>
      <c r="U15" s="116" t="s">
        <v>98</v>
      </c>
      <c r="V15" s="109"/>
      <c r="W15" s="101"/>
      <c r="X15" s="101"/>
      <c r="Y15" s="101"/>
      <c r="Z15" s="101"/>
      <c r="AA15" s="101"/>
      <c r="AB15" s="101"/>
      <c r="AC15" s="101"/>
      <c r="AD15" s="101">
        <v>1</v>
      </c>
      <c r="AE15" s="101"/>
    </row>
    <row r="16" s="12" customFormat="1" ht="21" customHeight="1" spans="1:48">
      <c r="B16" s="96"/>
      <c r="C16" s="97">
        <v>1</v>
      </c>
      <c r="D16" s="98" t="s">
        <v>84</v>
      </c>
      <c r="E16" s="110" t="s">
        <v>85</v>
      </c>
      <c r="F16" s="100" t="s">
        <v>86</v>
      </c>
      <c r="G16" s="103" t="s">
        <v>99</v>
      </c>
      <c r="H16" s="104"/>
      <c r="I16" s="104" t="s">
        <v>100</v>
      </c>
      <c r="J16" s="102" t="s">
        <v>52</v>
      </c>
      <c r="K16" s="103" t="s">
        <v>40</v>
      </c>
      <c r="L16" s="103" t="s">
        <v>53</v>
      </c>
      <c r="M16" s="103" t="s">
        <v>53</v>
      </c>
      <c r="N16" s="104"/>
      <c r="O16" s="104">
        <v>2023</v>
      </c>
      <c r="P16" s="105"/>
      <c r="Q16" s="105"/>
      <c r="R16" s="106">
        <v>47026</v>
      </c>
      <c r="S16" s="107"/>
      <c r="T16" s="115">
        <v>18601329278</v>
      </c>
      <c r="U16" s="117" t="s">
        <v>101</v>
      </c>
      <c r="V16" s="109"/>
      <c r="W16" s="101"/>
      <c r="X16" s="101">
        <v>1</v>
      </c>
      <c r="Y16" s="101"/>
      <c r="Z16" s="101"/>
      <c r="AA16" s="101">
        <v>1</v>
      </c>
      <c r="AB16" s="101">
        <v>1</v>
      </c>
      <c r="AC16" s="101"/>
      <c r="AD16" s="101"/>
      <c r="AE16" s="101">
        <v>1</v>
      </c>
    </row>
    <row r="17" s="12" customFormat="1" ht="21" customHeight="1" spans="1:48">
      <c r="B17" s="96"/>
      <c r="C17" s="97">
        <v>1</v>
      </c>
      <c r="D17" s="98" t="s">
        <v>84</v>
      </c>
      <c r="E17" s="110" t="s">
        <v>85</v>
      </c>
      <c r="F17" s="100" t="s">
        <v>86</v>
      </c>
      <c r="G17" s="101" t="s">
        <v>102</v>
      </c>
      <c r="H17" s="118" t="s">
        <v>103</v>
      </c>
      <c r="I17" s="118" t="s">
        <v>104</v>
      </c>
      <c r="J17" s="102" t="s">
        <v>52</v>
      </c>
      <c r="K17" s="101" t="s">
        <v>40</v>
      </c>
      <c r="L17" s="101" t="s">
        <v>53</v>
      </c>
      <c r="M17" s="101" t="s">
        <v>53</v>
      </c>
      <c r="N17" s="104"/>
      <c r="O17" s="104">
        <v>2023</v>
      </c>
      <c r="P17" s="105"/>
      <c r="Q17" s="105"/>
      <c r="R17" s="106">
        <v>47026</v>
      </c>
      <c r="S17" s="107"/>
      <c r="T17" s="115">
        <v>13681158666</v>
      </c>
      <c r="U17" s="117" t="s">
        <v>105</v>
      </c>
      <c r="V17" s="109"/>
      <c r="W17" s="101"/>
      <c r="X17" s="101"/>
      <c r="Y17" s="101">
        <v>1</v>
      </c>
      <c r="Z17" s="101"/>
      <c r="AA17" s="101"/>
      <c r="AB17" s="101"/>
      <c r="AC17" s="101"/>
      <c r="AD17" s="101"/>
      <c r="AE17" s="101">
        <v>1</v>
      </c>
    </row>
    <row r="18" s="12" customFormat="1" ht="21" customHeight="1" spans="1:48">
      <c r="B18" s="96"/>
      <c r="C18" s="97">
        <v>1</v>
      </c>
      <c r="D18" s="98" t="s">
        <v>84</v>
      </c>
      <c r="E18" s="110" t="s">
        <v>85</v>
      </c>
      <c r="F18" s="100" t="s">
        <v>86</v>
      </c>
      <c r="G18" s="103" t="s">
        <v>106</v>
      </c>
      <c r="H18" s="104"/>
      <c r="I18" s="104" t="s">
        <v>107</v>
      </c>
      <c r="J18" s="102" t="s">
        <v>52</v>
      </c>
      <c r="K18" s="103" t="s">
        <v>40</v>
      </c>
      <c r="L18" s="103" t="s">
        <v>53</v>
      </c>
      <c r="M18" s="103" t="s">
        <v>53</v>
      </c>
      <c r="N18" s="104"/>
      <c r="O18" s="104">
        <v>2023</v>
      </c>
      <c r="P18" s="105"/>
      <c r="Q18" s="105"/>
      <c r="R18" s="106">
        <v>46660</v>
      </c>
      <c r="S18" s="107"/>
      <c r="T18" s="115">
        <v>15810913397</v>
      </c>
      <c r="U18" s="117" t="s">
        <v>108</v>
      </c>
      <c r="V18" s="109"/>
      <c r="W18" s="101"/>
      <c r="X18" s="101">
        <v>1</v>
      </c>
      <c r="Y18" s="101"/>
      <c r="Z18" s="101">
        <v>1</v>
      </c>
      <c r="AA18" s="101"/>
      <c r="AB18" s="101"/>
      <c r="AC18" s="101"/>
      <c r="AD18" s="101">
        <v>1</v>
      </c>
      <c r="AE18" s="101">
        <v>1</v>
      </c>
    </row>
    <row r="19" s="12" customFormat="1" ht="21" customHeight="1" spans="1:48">
      <c r="B19" s="96"/>
      <c r="C19" s="97">
        <v>1</v>
      </c>
      <c r="D19" s="98" t="s">
        <v>84</v>
      </c>
      <c r="E19" s="110" t="s">
        <v>85</v>
      </c>
      <c r="F19" s="119" t="s">
        <v>86</v>
      </c>
      <c r="G19" s="120" t="s">
        <v>109</v>
      </c>
      <c r="H19" s="121" t="s">
        <v>110</v>
      </c>
      <c r="I19" s="121"/>
      <c r="J19" s="119" t="s">
        <v>52</v>
      </c>
      <c r="K19" s="120" t="s">
        <v>40</v>
      </c>
      <c r="L19" s="120" t="s">
        <v>53</v>
      </c>
      <c r="M19" s="120" t="s">
        <v>53</v>
      </c>
      <c r="N19" s="122"/>
      <c r="O19" s="122">
        <v>2023</v>
      </c>
      <c r="P19" s="123"/>
      <c r="Q19" s="123"/>
      <c r="R19" s="123">
        <v>47026</v>
      </c>
      <c r="S19" s="112"/>
      <c r="T19" s="124">
        <v>15010333428</v>
      </c>
      <c r="U19" s="125" t="s">
        <v>111</v>
      </c>
      <c r="V19" s="109"/>
      <c r="W19" s="120"/>
      <c r="X19" s="120"/>
      <c r="Y19" s="120"/>
      <c r="Z19" s="120"/>
      <c r="AA19" s="120"/>
      <c r="AB19" s="120"/>
      <c r="AC19" s="120"/>
      <c r="AD19" s="120"/>
      <c r="AE19" s="120">
        <v>1</v>
      </c>
    </row>
    <row r="20" s="12" customFormat="1" ht="21" customHeight="1" spans="1:48">
      <c r="B20" s="126"/>
      <c r="C20" s="127">
        <v>1</v>
      </c>
      <c r="D20" s="128" t="s">
        <v>84</v>
      </c>
      <c r="E20" s="110" t="s">
        <v>85</v>
      </c>
      <c r="F20" s="129" t="s">
        <v>86</v>
      </c>
      <c r="G20" s="130" t="s">
        <v>112</v>
      </c>
      <c r="H20" s="131"/>
      <c r="I20" s="132" t="s">
        <v>113</v>
      </c>
      <c r="J20" s="133" t="s">
        <v>52</v>
      </c>
      <c r="K20" s="130" t="s">
        <v>40</v>
      </c>
      <c r="L20" s="130" t="s">
        <v>53</v>
      </c>
      <c r="M20" s="130" t="s">
        <v>53</v>
      </c>
      <c r="N20" s="134"/>
      <c r="O20" s="104">
        <v>2024</v>
      </c>
      <c r="P20" s="135"/>
      <c r="Q20" s="136"/>
      <c r="R20" s="137">
        <v>47026</v>
      </c>
      <c r="S20" s="138"/>
      <c r="T20" s="78">
        <v>18613361646</v>
      </c>
      <c r="U20" s="139" t="s">
        <v>114</v>
      </c>
      <c r="V20" s="109"/>
      <c r="W20" s="140"/>
      <c r="X20" s="140"/>
      <c r="Y20" s="140"/>
      <c r="Z20" s="140"/>
      <c r="AA20" s="140"/>
      <c r="AB20" s="140"/>
      <c r="AC20" s="140">
        <v>1</v>
      </c>
      <c r="AD20" s="140"/>
      <c r="AE20" s="140">
        <v>1</v>
      </c>
    </row>
    <row r="21" s="12" customFormat="1" ht="21" customHeight="1" spans="1:48">
      <c r="B21" s="141"/>
      <c r="C21" s="97">
        <v>1</v>
      </c>
      <c r="D21" s="98" t="s">
        <v>84</v>
      </c>
      <c r="E21" s="110" t="s">
        <v>85</v>
      </c>
      <c r="F21" s="142" t="s">
        <v>86</v>
      </c>
      <c r="G21" s="143" t="s">
        <v>115</v>
      </c>
      <c r="H21" s="144" t="s">
        <v>116</v>
      </c>
      <c r="I21" s="144"/>
      <c r="J21" s="145" t="s">
        <v>52</v>
      </c>
      <c r="K21" s="143" t="s">
        <v>40</v>
      </c>
      <c r="L21" s="143" t="s">
        <v>53</v>
      </c>
      <c r="M21" s="143" t="s">
        <v>53</v>
      </c>
      <c r="N21" s="144"/>
      <c r="O21" s="104">
        <v>2025</v>
      </c>
      <c r="P21" s="135"/>
      <c r="Q21" s="135"/>
      <c r="R21" s="106">
        <v>47391</v>
      </c>
      <c r="S21" s="107"/>
      <c r="T21" s="79">
        <v>15901152332</v>
      </c>
      <c r="U21" s="108" t="s">
        <v>117</v>
      </c>
      <c r="V21" s="109"/>
      <c r="W21" s="140">
        <v>1</v>
      </c>
      <c r="X21" s="140">
        <v>1</v>
      </c>
      <c r="Y21" s="140"/>
      <c r="Z21" s="140">
        <v>1</v>
      </c>
      <c r="AA21" s="140"/>
      <c r="AB21" s="140"/>
      <c r="AC21" s="140"/>
      <c r="AD21" s="140"/>
      <c r="AE21" s="140"/>
    </row>
    <row r="22" s="12" customFormat="1" ht="21" customHeight="1" spans="1:48">
      <c r="A22" s="83"/>
      <c r="B22" s="146">
        <f>SUM(C22:C24)</f>
        <v>2</v>
      </c>
      <c r="C22" s="61">
        <v>1</v>
      </c>
      <c r="D22" s="147" t="s">
        <v>118</v>
      </c>
      <c r="E22" s="148" t="s">
        <v>119</v>
      </c>
      <c r="F22" s="149" t="s">
        <v>86</v>
      </c>
      <c r="G22" s="150" t="s">
        <v>120</v>
      </c>
      <c r="H22" s="151"/>
      <c r="I22" s="152" t="s">
        <v>121</v>
      </c>
      <c r="J22" s="153" t="s">
        <v>52</v>
      </c>
      <c r="K22" s="150" t="s">
        <v>40</v>
      </c>
      <c r="L22" s="150" t="s">
        <v>53</v>
      </c>
      <c r="M22" s="150" t="s">
        <v>53</v>
      </c>
      <c r="N22" s="152">
        <v>2023</v>
      </c>
      <c r="O22" s="154"/>
      <c r="P22" s="154"/>
      <c r="Q22" s="155"/>
      <c r="R22" s="156">
        <v>47026</v>
      </c>
      <c r="S22" s="157"/>
      <c r="T22" s="158" t="s">
        <v>122</v>
      </c>
      <c r="U22" s="159" t="s">
        <v>123</v>
      </c>
      <c r="V22" s="160"/>
      <c r="W22" s="161"/>
      <c r="X22" s="161"/>
      <c r="Y22" s="161"/>
      <c r="Z22" s="161"/>
      <c r="AA22" s="162">
        <v>1</v>
      </c>
      <c r="AB22" s="161"/>
      <c r="AC22" s="161"/>
      <c r="AD22" s="161"/>
      <c r="AE22" s="162">
        <v>1</v>
      </c>
      <c r="AF22" s="12"/>
      <c r="AG22" s="12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</row>
    <row r="23" s="12" customFormat="1" ht="21" customHeight="1" spans="1:48">
      <c r="A23" s="83"/>
      <c r="B23" s="146"/>
      <c r="C23" s="61">
        <v>1</v>
      </c>
      <c r="D23" s="147" t="s">
        <v>118</v>
      </c>
      <c r="E23" s="148" t="s">
        <v>119</v>
      </c>
      <c r="F23" s="149" t="s">
        <v>86</v>
      </c>
      <c r="G23" s="150" t="s">
        <v>124</v>
      </c>
      <c r="H23" s="151"/>
      <c r="I23" s="152" t="s">
        <v>125</v>
      </c>
      <c r="J23" s="153" t="s">
        <v>52</v>
      </c>
      <c r="K23" s="150" t="s">
        <v>40</v>
      </c>
      <c r="L23" s="150" t="s">
        <v>53</v>
      </c>
      <c r="M23" s="150" t="s">
        <v>53</v>
      </c>
      <c r="N23" s="152">
        <v>2024</v>
      </c>
      <c r="O23" s="154"/>
      <c r="P23" s="154"/>
      <c r="Q23" s="155"/>
      <c r="R23" s="156">
        <v>47026</v>
      </c>
      <c r="S23" s="158"/>
      <c r="T23" s="158" t="s">
        <v>126</v>
      </c>
      <c r="U23" s="159" t="s">
        <v>127</v>
      </c>
      <c r="V23" s="160"/>
      <c r="W23" s="162">
        <v>1</v>
      </c>
      <c r="X23" s="162">
        <v>1</v>
      </c>
      <c r="Y23" s="162"/>
      <c r="Z23" s="162"/>
      <c r="AA23" s="162">
        <v>1</v>
      </c>
      <c r="AB23" s="162"/>
      <c r="AC23" s="162">
        <v>1</v>
      </c>
      <c r="AD23" s="162"/>
      <c r="AE23" s="162"/>
      <c r="AF23" s="12"/>
      <c r="AG23" s="12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</row>
    <row r="24" s="12" customFormat="1" ht="21" customHeight="1" spans="1:48">
      <c r="A24" s="83"/>
      <c r="B24" s="146"/>
      <c r="C24" s="163"/>
      <c r="D24" s="147"/>
      <c r="E24" s="164"/>
      <c r="F24" s="165"/>
      <c r="G24" s="166"/>
      <c r="H24" s="167"/>
      <c r="I24" s="167"/>
      <c r="J24" s="164"/>
      <c r="K24" s="168"/>
      <c r="L24" s="168"/>
      <c r="M24" s="168"/>
      <c r="N24" s="167"/>
      <c r="O24" s="154"/>
      <c r="P24" s="154"/>
      <c r="Q24" s="154"/>
      <c r="R24" s="169"/>
      <c r="S24" s="170"/>
      <c r="T24" s="171"/>
      <c r="U24" s="172"/>
      <c r="V24" s="160"/>
      <c r="W24" s="161"/>
      <c r="X24" s="161"/>
      <c r="Y24" s="161"/>
      <c r="Z24" s="161"/>
      <c r="AA24" s="161"/>
      <c r="AB24" s="161"/>
      <c r="AC24" s="161"/>
      <c r="AD24" s="161"/>
      <c r="AE24" s="161"/>
      <c r="AF24" s="12"/>
      <c r="AG24" s="12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</row>
    <row r="25" s="14" customFormat="1" ht="15.75" spans="1:48">
      <c r="A25" s="83"/>
      <c r="B25" s="173"/>
      <c r="C25" s="174"/>
      <c r="D25" s="175"/>
      <c r="E25" s="14"/>
      <c r="F25" s="14"/>
      <c r="G25" s="174"/>
      <c r="H25" s="176"/>
      <c r="I25" s="176"/>
      <c r="J25" s="14"/>
      <c r="K25" s="174"/>
      <c r="L25" s="174"/>
      <c r="M25" s="174"/>
      <c r="N25" s="176"/>
      <c r="O25" s="176"/>
      <c r="P25" s="176"/>
      <c r="Q25" s="176"/>
      <c r="R25" s="176"/>
      <c r="S25" s="177"/>
      <c r="T25" s="178"/>
      <c r="U25" s="178"/>
      <c r="V25" s="83"/>
      <c r="W25" s="83"/>
      <c r="X25" s="83"/>
      <c r="Y25" s="83"/>
      <c r="Z25" s="83"/>
      <c r="AA25" s="31"/>
      <c r="AB25" s="31"/>
      <c r="AC25" s="31"/>
      <c r="AD25" s="31"/>
      <c r="AE25" s="31"/>
      <c r="AF25" s="12"/>
      <c r="AG25" s="12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</row>
    <row r="26" s="14" customFormat="1" ht="15.75" spans="1:48">
      <c r="A26" s="83"/>
      <c r="B26" s="173"/>
      <c r="C26" s="174"/>
      <c r="D26" s="175"/>
      <c r="E26" s="14"/>
      <c r="F26" s="14"/>
      <c r="G26" s="174"/>
      <c r="H26" s="176"/>
      <c r="I26" s="176"/>
      <c r="J26" s="14"/>
      <c r="K26" s="174"/>
      <c r="L26" s="174"/>
      <c r="M26" s="174"/>
      <c r="N26" s="176"/>
      <c r="O26" s="176"/>
      <c r="P26" s="176"/>
      <c r="Q26" s="176"/>
      <c r="R26" s="176"/>
      <c r="S26" s="177"/>
      <c r="T26" s="178"/>
      <c r="U26" s="178"/>
      <c r="V26" s="83"/>
      <c r="W26" s="83"/>
      <c r="X26" s="83"/>
      <c r="Y26" s="83"/>
      <c r="Z26" s="83"/>
      <c r="AA26" s="31"/>
      <c r="AB26" s="31"/>
      <c r="AC26" s="31"/>
      <c r="AD26" s="31"/>
      <c r="AE26" s="31"/>
      <c r="AF26" s="12"/>
      <c r="AG26" s="12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</row>
    <row r="27" s="14" customFormat="1" ht="15.75" spans="1:48">
      <c r="A27" s="83"/>
      <c r="B27" s="173"/>
      <c r="C27" s="174"/>
      <c r="D27" s="175"/>
      <c r="E27" s="14"/>
      <c r="F27" s="14"/>
      <c r="G27" s="174"/>
      <c r="H27" s="176"/>
      <c r="I27" s="176"/>
      <c r="J27" s="14"/>
      <c r="K27" s="174"/>
      <c r="L27" s="174"/>
      <c r="M27" s="174"/>
      <c r="N27" s="176"/>
      <c r="O27" s="176"/>
      <c r="P27" s="176"/>
      <c r="Q27" s="176"/>
      <c r="R27" s="176"/>
      <c r="S27" s="177"/>
      <c r="T27" s="178"/>
      <c r="U27" s="178"/>
      <c r="V27" s="83"/>
      <c r="W27" s="83"/>
      <c r="X27" s="83"/>
      <c r="Y27" s="83"/>
      <c r="Z27" s="83"/>
      <c r="AA27" s="31"/>
      <c r="AB27" s="31"/>
      <c r="AC27" s="31"/>
      <c r="AD27" s="31"/>
      <c r="AE27" s="31"/>
      <c r="AF27" s="12"/>
      <c r="AG27" s="12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</row>
    <row r="28" s="14" customFormat="1" ht="15.75" spans="1:48">
      <c r="A28" s="83"/>
      <c r="B28" s="173"/>
      <c r="C28" s="174"/>
      <c r="D28" s="175"/>
      <c r="E28" s="14"/>
      <c r="F28" s="14"/>
      <c r="G28" s="174"/>
      <c r="H28" s="176"/>
      <c r="I28" s="176"/>
      <c r="J28" s="14"/>
      <c r="K28" s="174"/>
      <c r="L28" s="174"/>
      <c r="M28" s="174"/>
      <c r="N28" s="176"/>
      <c r="O28" s="176"/>
      <c r="P28" s="176"/>
      <c r="Q28" s="176"/>
      <c r="R28" s="176"/>
      <c r="S28" s="177"/>
      <c r="T28" s="178"/>
      <c r="U28" s="178"/>
      <c r="V28" s="83"/>
      <c r="W28" s="83"/>
      <c r="X28" s="83"/>
      <c r="Y28" s="83"/>
      <c r="Z28" s="83"/>
      <c r="AA28" s="31"/>
      <c r="AB28" s="31"/>
      <c r="AC28" s="31"/>
      <c r="AD28" s="31"/>
      <c r="AE28" s="31"/>
      <c r="AF28" s="12"/>
      <c r="AG28" s="12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</row>
    <row r="29" s="14" customFormat="1" ht="15.75" spans="1:48">
      <c r="A29" s="83"/>
      <c r="B29" s="173"/>
      <c r="C29" s="174"/>
      <c r="D29" s="175"/>
      <c r="E29" s="14"/>
      <c r="F29" s="14"/>
      <c r="G29" s="174"/>
      <c r="H29" s="176"/>
      <c r="I29" s="176"/>
      <c r="J29" s="14"/>
      <c r="K29" s="174"/>
      <c r="L29" s="174"/>
      <c r="M29" s="174"/>
      <c r="N29" s="176"/>
      <c r="O29" s="176"/>
      <c r="P29" s="176"/>
      <c r="Q29" s="176"/>
      <c r="R29" s="176"/>
      <c r="S29" s="177"/>
      <c r="T29" s="178"/>
      <c r="U29" s="178"/>
      <c r="V29" s="83"/>
      <c r="W29" s="83"/>
      <c r="X29" s="83"/>
      <c r="Y29" s="83"/>
      <c r="Z29" s="83"/>
      <c r="AA29" s="31"/>
      <c r="AB29" s="31"/>
      <c r="AC29" s="31"/>
      <c r="AD29" s="31"/>
      <c r="AE29" s="31"/>
      <c r="AF29" s="12"/>
      <c r="AG29" s="12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</row>
    <row r="30" s="14" customFormat="1" ht="15.75" spans="1:48">
      <c r="A30" s="83"/>
      <c r="B30" s="173"/>
      <c r="C30" s="174"/>
      <c r="D30" s="175"/>
      <c r="E30" s="14"/>
      <c r="F30" s="14"/>
      <c r="G30" s="174"/>
      <c r="H30" s="176"/>
      <c r="I30" s="176"/>
      <c r="J30" s="14"/>
      <c r="K30" s="174"/>
      <c r="L30" s="174"/>
      <c r="M30" s="174"/>
      <c r="N30" s="176"/>
      <c r="O30" s="176"/>
      <c r="P30" s="176"/>
      <c r="Q30" s="176"/>
      <c r="R30" s="176"/>
      <c r="S30" s="177"/>
      <c r="T30" s="178"/>
      <c r="U30" s="178"/>
      <c r="V30" s="83"/>
      <c r="W30" s="83"/>
      <c r="X30" s="83"/>
      <c r="Y30" s="83"/>
      <c r="Z30" s="83"/>
      <c r="AA30" s="31"/>
      <c r="AB30" s="31"/>
      <c r="AC30" s="31"/>
      <c r="AD30" s="31"/>
      <c r="AE30" s="31"/>
      <c r="AF30" s="12"/>
      <c r="AG30" s="12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</row>
  </sheetData>
  <autoFilter xmlns:etc="http://www.wps.cn/officeDocument/2017/etCustomData" ref="A3:AV24" etc:filterBottomFollowUsedRange="0">
    <extLst/>
  </autoFilter>
  <customSheetViews>
    <customSheetView guid="{E3E5EE01-9764-4184-AAF7-B615A749A3D4}" showAutoFilter="1" hiddenRows="1" hiddenColumns="1">
      <autoFilter ref="B1"/>
    </customSheetView>
  </customSheetViews>
  <mergeCells count="8">
    <mergeCell ref="B2:C2"/>
    <mergeCell ref="D2:F2"/>
    <mergeCell ref="G2:J2"/>
    <mergeCell ref="K2:M2"/>
    <mergeCell ref="N2:R2"/>
    <mergeCell ref="B6:B11"/>
    <mergeCell ref="B12:B21"/>
    <mergeCell ref="B22:B24"/>
  </mergeCells>
  <conditionalFormatting sqref="D4">
    <cfRule type="containsText" dxfId="0" priority="22" operator="between" text="喜乐生命工程师">
      <formula>NOT(ISERROR(SEARCH("喜乐生命工程师",D4)))</formula>
    </cfRule>
  </conditionalFormatting>
  <conditionalFormatting sqref="D4:D21">
    <cfRule type="cellIs" dxfId="1" priority="3" operator="equal">
      <formula>"喜乐瑜伽教师"</formula>
    </cfRule>
    <cfRule type="cellIs" dxfId="2" priority="4" operator="equal">
      <formula>"喜乐健康生活管理师"</formula>
    </cfRule>
    <cfRule type="cellIs" dxfId="3" priority="5" operator="equal">
      <formula>"喜乐智慧生命教练"</formula>
    </cfRule>
    <cfRule type="cellIs" dxfId="4" priority="6" operator="equal">
      <formula>"喜乐生命工程师"</formula>
    </cfRule>
  </conditionalFormatting>
  <conditionalFormatting sqref="D4:D11">
    <cfRule type="cellIs" dxfId="5" priority="10" operator="equal">
      <formula>"喜乐健康生活管理师"</formula>
    </cfRule>
    <cfRule type="cellIs" dxfId="6" priority="11" operator="equal">
      <formula>"喜乐智慧生命教练"</formula>
    </cfRule>
    <cfRule type="cellIs" dxfId="7" priority="12" operator="equal">
      <formula>"喜乐生命工程师"</formula>
    </cfRule>
  </conditionalFormatting>
  <conditionalFormatting sqref="D4:D5">
    <cfRule type="cellIs" dxfId="8" priority="14" operator="equal">
      <formula>"喜乐智慧生命教练"</formula>
    </cfRule>
  </conditionalFormatting>
  <conditionalFormatting sqref="D4:D28">
    <cfRule type="cellIs" dxfId="9" priority="20" operator="equal">
      <formula>"喜乐健康生活管理师"</formula>
    </cfRule>
    <cfRule type="containsText" dxfId="10" priority="21" operator="between" text="喜乐智慧生命教练">
      <formula>NOT(ISERROR(SEARCH("喜乐智慧生命教练",D4)))</formula>
    </cfRule>
  </conditionalFormatting>
  <conditionalFormatting sqref="D6:D11">
    <cfRule type="cellIs" dxfId="11" priority="17" operator="equal">
      <formula>"喜乐健康生活管理师"</formula>
    </cfRule>
  </conditionalFormatting>
  <conditionalFormatting sqref="D12:D21">
    <cfRule type="cellIs" dxfId="12" priority="15" operator="equal">
      <formula>"喜乐瑜伽教师"</formula>
    </cfRule>
    <cfRule type="cellIs" dxfId="13" priority="16" operator="equal">
      <formula>"见习喜乐瑜伽教师"</formula>
    </cfRule>
    <cfRule type="cellIs" dxfId="14" priority="18" operator="equal">
      <formula>"见习喜乐瑜伽教师"</formula>
    </cfRule>
    <cfRule type="cellIs" dxfId="15" priority="19" operator="equal">
      <formula>"喜乐瑜伽教师"</formula>
    </cfRule>
  </conditionalFormatting>
  <conditionalFormatting sqref="D12:D24">
    <cfRule type="cellIs" dxfId="16" priority="1" operator="equal">
      <formula>"喜乐顾问"</formula>
    </cfRule>
    <cfRule type="cellIs" dxfId="17" priority="2" operator="equal">
      <formula>"见习喜乐瑜伽教师"</formula>
    </cfRule>
    <cfRule type="cellIs" dxfId="18" priority="7" operator="equal">
      <formula>"喜乐顾问"</formula>
    </cfRule>
    <cfRule type="cellIs" dxfId="19" priority="8" operator="equal">
      <formula>"见习喜乐瑜伽教师"</formula>
    </cfRule>
    <cfRule type="cellIs" dxfId="20" priority="9" operator="equal">
      <formula>"喜乐瑜伽教师"</formula>
    </cfRule>
  </conditionalFormatting>
  <conditionalFormatting sqref="D22:D24">
    <cfRule type="cellIs" dxfId="21" priority="13" operator="equal">
      <formula>"喜乐顾问"</formula>
    </cfRule>
  </conditionalFormatting>
  <dataValidations count="3">
    <dataValidation type="list" allowBlank="1" showInputMessage="1" showErrorMessage="1" sqref="D4 D5 D6 D12 D13 D14 D15 D16 D17 D18 D19 D20 D21 D22 D23 D7:D9 D10:D11 D24:D1048576">
      <formula1>"喜乐生命工程师,喜乐智慧生命教练,喜乐健康生活管理师,喜乐瑜伽教师,喜乐顾问,"</formula1>
    </dataValidation>
    <dataValidation type="list" allowBlank="1" showInputMessage="1" showErrorMessage="1" sqref="F4 F5 F6 F12 F13 F14 F15 F16 F17 F18 F19 F20 F21 F22 F23 F7:F9 F10:F11 F24:F30">
      <formula1>"导师,高级,中级,初级,人数,"</formula1>
    </dataValidation>
    <dataValidation type="list" allowBlank="1" showInputMessage="1" showErrorMessage="1" sqref="J4 J5 J6 J12 J13 J14 J15 J16 J17 J18 J19 J20 J21 J22 J23 J7:J9 J10:J11 J24:J30">
      <formula1>"男,女,"</formula1>
    </dataValidation>
  </dataValidations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T23:U23 T22:U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11" defaultRowHeight="15.75" outlineLevelRow="7" outlineLevelCol="1"/>
  <cols>
    <col min="1" max="2" width="11.7083333333333" customWidth="1"/>
  </cols>
  <sheetData>
    <row r="1" ht="28" customHeight="1" spans="1:2">
      <c r="A1" s="1" t="s">
        <v>128</v>
      </c>
      <c r="B1" s="2" t="s">
        <v>129</v>
      </c>
    </row>
    <row r="2" spans="1:2">
      <c r="A2" s="3" t="s">
        <v>130</v>
      </c>
      <c r="B2" s="4" t="s">
        <v>131</v>
      </c>
    </row>
    <row r="3" spans="1:2">
      <c r="A3" s="5" t="s">
        <v>132</v>
      </c>
      <c r="B3" s="6" t="s">
        <v>133</v>
      </c>
    </row>
    <row r="4" spans="1:2">
      <c r="A4" s="7" t="s">
        <v>134</v>
      </c>
      <c r="B4" s="6" t="s">
        <v>135</v>
      </c>
    </row>
    <row r="5" spans="1:2">
      <c r="A5" s="7" t="s">
        <v>136</v>
      </c>
      <c r="B5" s="6" t="s">
        <v>137</v>
      </c>
    </row>
    <row r="6" spans="1:2">
      <c r="A6" s="7" t="s">
        <v>138</v>
      </c>
      <c r="B6" s="6" t="s">
        <v>139</v>
      </c>
    </row>
    <row r="7" spans="1:2">
      <c r="A7" s="8" t="s">
        <v>140</v>
      </c>
      <c r="B7" s="6" t="s">
        <v>141</v>
      </c>
    </row>
    <row r="8" spans="1:2">
      <c r="A8" s="9" t="s">
        <v>142</v>
      </c>
      <c r="B8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教师名单汇总</vt:lpstr>
      <vt:lpstr>審核成員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Siqun</cp:lastModifiedBy>
  <dcterms:created xsi:type="dcterms:W3CDTF">2026-09-07T12:29:00Z</dcterms:created>
  <dcterms:modified xsi:type="dcterms:W3CDTF">2026-09-07T04:35:54Z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AFA43969DB9E4ABBBD0C21576B66F81F_12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